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 Books &amp; Projects\Organic Cleansing Diet\Claude Ai\Spreadsheet\"/>
    </mc:Choice>
  </mc:AlternateContent>
  <xr:revisionPtr revIDLastSave="0" documentId="13_ncr:1_{1277C5BA-16AE-4292-B150-D6918414AC8F}" xr6:coauthVersionLast="47" xr6:coauthVersionMax="47" xr10:uidLastSave="{00000000-0000-0000-0000-000000000000}"/>
  <bookViews>
    <workbookView xWindow="28680" yWindow="-120" windowWidth="29040" windowHeight="15720" tabRatio="500" firstSheet="4" activeTab="9" xr2:uid="{00000000-000D-0000-FFFF-FFFF00000000}"/>
  </bookViews>
  <sheets>
    <sheet name="__DATA__" sheetId="1" state="hidden" r:id="rId1"/>
    <sheet name="Pre-Cleanse Meal" sheetId="2" r:id="rId2"/>
    <sheet name="Morning Routine" sheetId="3" r:id="rId3"/>
    <sheet name="Breakfast" sheetId="4" r:id="rId4"/>
    <sheet name="Mid-Morning Juice" sheetId="5" r:id="rId5"/>
    <sheet name="Lunch" sheetId="6" r:id="rId6"/>
    <sheet name="Afternoon Snack" sheetId="7" r:id="rId7"/>
    <sheet name="Dinner" sheetId="8" r:id="rId8"/>
    <sheet name="Evening" sheetId="9" r:id="rId9"/>
    <sheet name="Shopping List" sheetId="10" r:id="rId10"/>
    <sheet name="Weekly Tracker" sheetId="11" r:id="rId11"/>
  </sheets>
  <definedNames>
    <definedName name="_xlnm.Print_Area" localSheetId="6">'Afternoon Snack'!$A$1:$G$27</definedName>
    <definedName name="_xlnm.Print_Area" localSheetId="3">Breakfast!$A$1:$G$28</definedName>
    <definedName name="_xlnm.Print_Area" localSheetId="7">Dinner!$A$1:$G$28</definedName>
    <definedName name="_xlnm.Print_Area" localSheetId="8">Evening!$A$1:$G$28</definedName>
    <definedName name="_xlnm.Print_Area" localSheetId="5">Lunch!$A$1:$G$28</definedName>
    <definedName name="_xlnm.Print_Area" localSheetId="4">'Mid-Morning Juice'!$A$1:$G$28</definedName>
    <definedName name="_xlnm.Print_Area" localSheetId="2">'Morning Routine'!$A$1:$G$27</definedName>
    <definedName name="_xlnm.Print_Area" localSheetId="1">'Pre-Cleanse Meal'!$A$1:$G$29</definedName>
    <definedName name="_xlnm.Print_Area" localSheetId="9">'Shopping List'!$A$1:$E$98</definedName>
    <definedName name="_xlnm.Print_Area" localSheetId="10">'Weekly Tracker'!$A$1:$K$49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27" i="11" l="1"/>
  <c r="J26" i="11"/>
  <c r="J25" i="11"/>
  <c r="J24" i="11"/>
  <c r="J23" i="11"/>
  <c r="J22" i="11"/>
  <c r="J21" i="11"/>
  <c r="J20" i="11"/>
  <c r="J16" i="11"/>
  <c r="J12" i="11"/>
  <c r="J11" i="11"/>
  <c r="J10" i="11"/>
  <c r="J9" i="11"/>
  <c r="J8" i="11"/>
  <c r="J7" i="11"/>
  <c r="J6" i="11"/>
  <c r="E9" i="9"/>
  <c r="D9" i="9"/>
  <c r="E11" i="8"/>
  <c r="D11" i="8"/>
  <c r="E10" i="8"/>
  <c r="D10" i="8"/>
  <c r="E9" i="8"/>
  <c r="D9" i="8"/>
  <c r="E10" i="7"/>
  <c r="D10" i="7"/>
  <c r="E9" i="7"/>
  <c r="D9" i="7"/>
  <c r="E11" i="6"/>
  <c r="D11" i="6"/>
  <c r="E10" i="6"/>
  <c r="D10" i="6"/>
  <c r="E9" i="6"/>
  <c r="D9" i="6"/>
  <c r="E11" i="5"/>
  <c r="D11" i="5"/>
  <c r="E10" i="5"/>
  <c r="D10" i="5"/>
  <c r="E9" i="5"/>
  <c r="D9" i="5"/>
  <c r="E11" i="4"/>
  <c r="D11" i="4"/>
  <c r="E10" i="4"/>
  <c r="D10" i="4"/>
  <c r="E9" i="4"/>
  <c r="D9" i="4"/>
  <c r="E9" i="3"/>
  <c r="D9" i="3"/>
  <c r="E10" i="2"/>
  <c r="D10" i="2"/>
  <c r="E9" i="2"/>
  <c r="D9" i="2"/>
</calcChain>
</file>

<file path=xl/sharedStrings.xml><?xml version="1.0" encoding="utf-8"?>
<sst xmlns="http://schemas.openxmlformats.org/spreadsheetml/2006/main" count="853" uniqueCount="514">
  <si>
    <t>Tab</t>
  </si>
  <si>
    <t>Slot</t>
  </si>
  <si>
    <t>Option</t>
  </si>
  <si>
    <t>Instruction</t>
  </si>
  <si>
    <t>Swap Note</t>
  </si>
  <si>
    <t>Pre-Cleanse</t>
  </si>
  <si>
    <t>Salmon Method</t>
  </si>
  <si>
    <t>Baked</t>
  </si>
  <si>
    <t>BAKED: Preheat oven to 400F. Place salmon on a lightly oiled baking sheet, skin side down. Season with sea salt and black pepper. Bake 12-15 minutes until the fish flakes easily with a fork at the thickest part. Do not overcook - salmon continues cooking from residual heat after removal. Rest 2 minutes before plating.</t>
  </si>
  <si>
    <t>Most hands-off method - great for multitasking with rice and asparagus.</t>
  </si>
  <si>
    <t>Grilled</t>
  </si>
  <si>
    <t>GRILLED: Heat grill or grill pan to medium-high. Brush salmon lightly with olive oil, season with sea salt and pepper. Place skin-side up first. Grill 4-5 minutes per side until cooked through with visible grill marks. The salmon is done when it flakes easily at the thickest point. Rest 2 minutes before plating.</t>
  </si>
  <si>
    <t>Most flavorful through caramelization. A stovetop grill pan works perfectly.</t>
  </si>
  <si>
    <t>Sous Vide</t>
  </si>
  <si>
    <t>SOUS VIDE: Set immersion circulator to 125F for medium-rare or 130F for medium. Season salmon, seal in a bag, submerge. Cook 45 minutes. When done, optionally finish with a quick 30-second sear in a very hot dry pan for a light crust. Rest 1 minute before plating.</t>
  </si>
  <si>
    <t>Most precise result. Requires an immersion circulator. Start this method first - it takes longest.</t>
  </si>
  <si>
    <t>Asparagus Prep</t>
  </si>
  <si>
    <t>Steamed</t>
  </si>
  <si>
    <t>STEAMED: Snap woody ends off asparagus where they naturally break. Steam over 1 inch of boiling purified water for 5-7 minutes until just tender with a slight bite. Do not overcook. Season lightly with sea salt and a squeeze of lemon.</t>
  </si>
  <si>
    <t>Best nutrient preservation. Best match for the Baked salmon method.</t>
  </si>
  <si>
    <t>Roasted</t>
  </si>
  <si>
    <t>ROASTED: Preheat oven to 400F. Spread asparagus in a single layer on a baking sheet. Drizzle very lightly with olive oil, season with sea salt and pepper. Roast 10-12 minutes until tender with slightly caramelized tips.</t>
  </si>
  <si>
    <t>Richest flavor through caramelization. Pairs with Baked or Grilled salmon.</t>
  </si>
  <si>
    <t>GRILLED: Heat grill or grill pan to medium-high. Toss asparagus with a tiny amount of olive oil and season with sea salt and pepper. Grill 3-4 minutes turning once. Should have grill marks and be tender throughout.</t>
  </si>
  <si>
    <t>Cook alongside grilled salmon at the same time for efficiency.</t>
  </si>
  <si>
    <t>Morning</t>
  </si>
  <si>
    <t>Citrus Water</t>
  </si>
  <si>
    <t>Fresh Lime (half)</t>
  </si>
  <si>
    <t>Cut a fresh lime in half. Squeeze the juice of one half into a full glass of purified water (about 8 oz). Stir and drink within 5 minutes of your probiotic water. The sour taste is intentional and beneficial - do not add anything to sweeten it.</t>
  </si>
  <si>
    <t>Lime is slightly less tart than lemon. Same detox benefit.</t>
  </si>
  <si>
    <t>Fresh Lemon (half)</t>
  </si>
  <si>
    <t>Cut a fresh lemon in half. Squeeze the juice of one half into a full glass of purified water (about 8 oz). Stir and drink within 5 minutes of your probiotic water. Lemon has a slightly more tart profile than lime. Both are equally effective - use whichever you have fresher that day.</t>
  </si>
  <si>
    <t>Lemon is slightly more tart than lime. Same detox benefit.</t>
  </si>
  <si>
    <t>Breakfast</t>
  </si>
  <si>
    <t>Breakfast Recipe</t>
  </si>
  <si>
    <t>Berry Prune Smoothie Bowl</t>
  </si>
  <si>
    <t>BERRY PRUNE SMOOTHIE BOWL: Add to blender: 1 cup frozen berries (raspberries, strawberries, or blueberries), 4-5 soaked prunes plus ALL soaking liquid, 1 chopped seasonal fruit (mango, papaya, peach, or pear), and 1/4 cup purified water. Blend on high 30-45 seconds until completely smooth. Should be thick enough to eat with a spoon. Pour into a wide bowl and eat slowly.</t>
  </si>
  <si>
    <t>Most filling option. Best for days when you need sustained energy. NO BANANAS - they are constipating.</t>
  </si>
  <si>
    <t>Tropical Fruit Salad with Prune Sauce</t>
  </si>
  <si>
    <t>TROPICAL FRUIT SALAD: Chop 1 medium apple (do not peel) and 1 cup of seasonal fruit (mango, papaya, peach, or nectarine) into bite-sized pieces. Add to a bowl. Squeeze fresh lemon or lime juice over immediately. Roughly chop 4-5 soaked prunes and add them with ALL their soaking liquid to the bowl. Stir gently - the liquid becomes a naturally sweet sauce. Eat slowly and chew thoroughly.</t>
  </si>
  <si>
    <t>No equipment needed. Most beginner-friendly. Best for days 1-3.</t>
  </si>
  <si>
    <t>Green Citrus Smoothie</t>
  </si>
  <si>
    <t>GREEN CITRUS SMOOTHIE: Add to blender in this order: 1/2 cup purified water first, then 1 large handful of kale or spinach (stems removed), then 1 peeled orange or 2 tangerines, then 1 cored apple, then 3-4 soaked prunes plus their liquid. Blend on HIGH for 45-60 seconds until uniformly green with no visible leaf pieces. Drink immediately - green smoothies oxidize quickly.</t>
  </si>
  <si>
    <t>Most detox-forward. Best when brain fog or headache is present. Palate adjusts by day 3.</t>
  </si>
  <si>
    <t>Berry Type</t>
  </si>
  <si>
    <t>Frozen Raspberries</t>
  </si>
  <si>
    <t>Use 1 cup frozen raspberries. Deepest red color, most intensely flavored. Highest fiber of the berry options.</t>
  </si>
  <si>
    <t>Best for days 4-7 when palate has adjusted to less sweet flavors.</t>
  </si>
  <si>
    <t>Frozen Strawberries</t>
  </si>
  <si>
    <t>Use 1 cup frozen strawberries (halved if large). Mildest and sweetest option - best for days 1-2 if new to cleansing.</t>
  </si>
  <si>
    <t>Best beginner option for days 1-3.</t>
  </si>
  <si>
    <t>Frozen Blueberries</t>
  </si>
  <si>
    <t>Use 1 cup frozen blueberries. Highest antioxidant content. Creates a deep purple-blue bowl - most visually striking.</t>
  </si>
  <si>
    <t>Rinse blender immediately after - the color stains.</t>
  </si>
  <si>
    <t>Fresh Berries in Season</t>
  </si>
  <si>
    <t>Use 1 cup fresh berries. Highest enzyme activity. May be thinner than frozen - add 3-4 ice cubes to thicken.</t>
  </si>
  <si>
    <t>Best nutritional choice when in season.</t>
  </si>
  <si>
    <t>Green Smoothie Base</t>
  </si>
  <si>
    <t>Kale</t>
  </si>
  <si>
    <t>Remove kale stems completely - fold each leaf in half and pull the stem away. Use leaves only. Wash thoroughly. Most potent detox green.</t>
  </si>
  <si>
    <t>Most potent. Requires complete stem removal for smooth blending.</t>
  </si>
  <si>
    <t>Spinach</t>
  </si>
  <si>
    <t>Use full leaves - no stem removal needed. Wash thoroughly. Mildest flavor - best for days 1-2 when adjusting to green smoothies.</t>
  </si>
  <si>
    <t>Start here on days 1-2, switch to kale by day 3-4 as palate adjusts.</t>
  </si>
  <si>
    <t>Beet Greens</t>
  </si>
  <si>
    <t>Remove any very thick stems. Wash thoroughly. Earthy, mild flavor. Use if your beets came with greens attached.</t>
  </si>
  <si>
    <t>Use when beets come with greens attached to avoid waste.</t>
  </si>
  <si>
    <t>Chard</t>
  </si>
  <si>
    <t>Remove thick colored stems. Use leaves only. Milder than kale, slightly sweeter. Good middle-ground option.</t>
  </si>
  <si>
    <t>Most balanced between potency and palatability. Good for days 3-5.</t>
  </si>
  <si>
    <t>Mid-Morning Juice</t>
  </si>
  <si>
    <t>Juice Recipe</t>
  </si>
  <si>
    <t>Apple Carrot Ginger Juice</t>
  </si>
  <si>
    <t>APPLE CARROT GINGER JUICE: Wash 3 medium apples and 4 large carrots. Core apples and cut into wedges (do not peel). Scrub carrots and trim tops (do not peel). Peel 1 inch of fresh ginger and peel 1/2 lemon. Juice in this order: carrots first, then apple, then ginger, then lemon last. Stir the finished juice well and drink immediately. Masticating juicer: up to 20 min before oxidation. Centrifugal juicer: drink within 10-15 minutes.</t>
  </si>
  <si>
    <t>Best for days 1-3 when adjusting to juicing. Most approachable flavor.</t>
  </si>
  <si>
    <t>Green Detox Juice</t>
  </si>
  <si>
    <t>GREEN DETOX JUICE: Wash 4 celery stalks (with leaves), 1 medium cucumber, a large handful of parsley, 2 medium apples, and 1 whole lemon (peeled). Roll parsley loosely and wrap with an apple wedge before juicing for better extraction. Juice in this order: celery first (lubricates the juicer), then cucumber, then parsley-wrapped-in-apple, then remaining apple, then lemon last. Drink IMMEDIATELY - green juices oxidize the fastest.</t>
  </si>
  <si>
    <t>Best for reducing bloating - choose this on days 1-2 for maximum water retention reduction.</t>
  </si>
  <si>
    <t>Citrus Beet Juice</t>
  </si>
  <si>
    <t>CITRUS BEET JUICE: Scrub 2 medium beets (do not peel) and cut into wedges. CAUTION: beet stains everything - protect your surface and wash hands immediately. Also prep: 2 medium apples (wedged), 2 medium carrots (trimmed), 1 large orange (peeled), 1/2 inch fresh ginger (peeled), 1/2 lemon (peeled). Juice in this order: carrot first, then beet, then apple, then ginger, then orange, then lemon last. NOTE: beet juice may temporarily turn urine pink/red - completely normal and harmless.</t>
  </si>
  <si>
    <t>Best for liver support - choose this on days 3-7 when palate has adjusted.</t>
  </si>
  <si>
    <t>Root Vegetable</t>
  </si>
  <si>
    <t>Carrot</t>
  </si>
  <si>
    <t>Use 4 large carrots (scrubbed, tops trimmed, do not peel). Orange juice color, mildly sweet, most approachable. Excellent for days 1-3.</t>
  </si>
  <si>
    <t>No staining concern. Good intro to root vegetable juicing.</t>
  </si>
  <si>
    <t>Beet</t>
  </si>
  <si>
    <t>Use 2 medium beets (scrubbed, cut into wedges, do not peel). Deep magenta color, earthier flavor. Protect all surfaces from staining. Best for days 3-7.</t>
  </si>
  <si>
    <t>Stains everything. Expect temporarily pink urine - normal and harmless. More liver-active than carrot.</t>
  </si>
  <si>
    <t>Juice Herb</t>
  </si>
  <si>
    <t>Parsley</t>
  </si>
  <si>
    <t>Use a large handful of fresh parsley including stems. Wash very thoroughly - parsley carries grit between leaves. Strongest kidney-cleansing herb option.</t>
  </si>
  <si>
    <t>Best kidney cleansing option. Best for days 2-7.</t>
  </si>
  <si>
    <t>Cilantro</t>
  </si>
  <si>
    <t>Use a large handful of fresh cilantro including stems. Wash thoroughly including the roots area - carries soil. Heavy metal detox properties that parsley lacks.</t>
  </si>
  <si>
    <t>Try on day 3. Distinct flavor - some love it, some do not.</t>
  </si>
  <si>
    <t>Fresh Mint</t>
  </si>
  <si>
    <t>Use a large handful of fresh mint including stems. Most refreshing and approachable flavor. Lightest detox effect. Best choice for day 1 if green juice tastes challenging.</t>
  </si>
  <si>
    <t>Most beginner-friendly. Best for day 1.</t>
  </si>
  <si>
    <t>Lunch</t>
  </si>
  <si>
    <t>Salad Recipe</t>
  </si>
  <si>
    <t>Classic Detox Salad</t>
  </si>
  <si>
    <t>CLASSIC DETOX SALAD: Build a large base of 3-4 handfuls mixed lettuce plus 1 handful kale or spinach. Add: grated carrots, sliced red onion, cucumber, sprouts, chopped beets, and a small handful of fresh parsley. DRESSING: 1 Tbsp extra virgin olive oil plus fresh lemon juice or 1.5 tsp raw unfiltered apple cider vinegar. Toss thoroughly. Take Digestive Enzymes as directed. Eat slowly and chew every bite thoroughly - raw vegetables require significant digestion.</t>
  </si>
  <si>
    <t>Best everyday salad for days 1-7. Most meal-prep friendly.</t>
  </si>
  <si>
    <t>Warm Steamed Veggie Salad</t>
  </si>
  <si>
    <t>WARM STEAMED VEGGIE SALAD: Steam your starchy vegetable (squash or beets, 3/4-inch cubes) first - 8-10 minutes. After 4 minutes, add your main cruciferous vegetable (broccoli or cauliflower florets). After 3 more minutes, add your dark leafy green on top (2-3 minutes only). DRESSING: while steaming, combine 1 Tbsp olive oil, lemon juice, 1-2 minced garlic cloves, cayenne, and sodium-free seasoning in a wide bowl. Place hot steamed vegetables on a raw green base. Dress immediately.</t>
  </si>
  <si>
    <t>Best for cold days or when body craves warmth. Most satisfying comfort option.</t>
  </si>
  <si>
    <t>Chopped Beet and Sprout Salad</t>
  </si>
  <si>
    <t>CHOPPED BEET AND SPROUT SALAD: Grate 1/2 medium raw beet into a separate small bowl (protect from staining). Place your chosen greens in salad bowl, squeeze lemon juice over them, and massage firmly for 60-90 seconds until they soften. This step is not optional. Add 2 large handfuls sprouts, a large handful chopped parsley, 2 celery stalks sliced, 1/2 cucumber diced, 1/4 red onion sliced, and 1/2 apple sliced. Add grated beet last. DRESSING: 1 Tbsp olive oil plus 1.5 tsp raw ACV plus lemon juice plus minced garlic plus cayenne. Toss immediately.</t>
  </si>
  <si>
    <t>Best for days 4-7 when palate has adjusted. Most intensely liver-active lunch.</t>
  </si>
  <si>
    <t>Dark Leafy Green</t>
  </si>
  <si>
    <t>Remove stems completely, tear into bite-sized pieces. For raw salads, massage with a few drops of lemon juice for 60 seconds to tenderize. Most potent toxin-binding green.</t>
  </si>
  <si>
    <t>Massage it for best results - 60 seconds makes a dramatic difference in texture and bitterness.</t>
  </si>
  <si>
    <t>Use full leaves, no prep needed. Most tender and beginner-friendly. Best for days 1-3 when adjusting to large quantities of raw greens.</t>
  </si>
  <si>
    <t>Most approachable. Start here days 1-3, work toward kale by mid-week.</t>
  </si>
  <si>
    <t>Collard Ribbons</t>
  </si>
  <si>
    <t>Remove stems completely, cut into thin 1/4-inch ribbons. MUST be massaged with lemon for 90 seconds - collards are too tough raw without massaging.</t>
  </si>
  <si>
    <t>Cut thin and massage thoroughly. Very high fiber - most effective for toxin binding.</t>
  </si>
  <si>
    <t>Remove thick colored stems, tear leaves. No massage required - naturally tender. Mild, slightly sweet flavor.</t>
  </si>
  <si>
    <t>Most mild and versatile. Good everyday option for all 7 days.</t>
  </si>
  <si>
    <t>Salad Dressing</t>
  </si>
  <si>
    <t>Lemon and Olive Oil</t>
  </si>
  <si>
    <t>Drizzle 1 Tbsp extra virgin olive oil evenly over the salad. Squeeze fresh lemon juice over everything. Toss thoroughly. Brightest and most versatile dressing option.</t>
  </si>
  <si>
    <t>Most versatile - pairs with all salad options.</t>
  </si>
  <si>
    <t>Lime and Olive Oil</t>
  </si>
  <si>
    <t>Drizzle 1 Tbsp extra virgin olive oil evenly over the salad. Squeeze fresh lime juice over everything. Toss thoroughly. Slightly sweeter and more tropical than lemon.</t>
  </si>
  <si>
    <t>Pairs especially well with kale and beet-based salads.</t>
  </si>
  <si>
    <t>Apple Cider Vinegar and Olive Oil</t>
  </si>
  <si>
    <t>Combine 1 Tbsp olive oil plus 1.5 tsp raw unfiltered ACV in a small bowl and stir vigorously before pouring over salad. Toss immediately - the dressing separates quickly. Use raw unfiltered ACV with the mother only.</t>
  </si>
  <si>
    <t>Adds probiotic benefit. Must be raw, unfiltered ACV with the mother visible - filtered ACV lacks the probiotic cultures.</t>
  </si>
  <si>
    <t>Afternoon Snack</t>
  </si>
  <si>
    <t>Snack Option</t>
  </si>
  <si>
    <t>Celery and Almonds with Herbal Tea</t>
  </si>
  <si>
    <t>CELERY AND ALMONDS WITH HERBAL TEA: Drink your full 16 oz of water FIRST before eating anything. Then wash 3-4 celery stalks (include the leaves - they are more nutritious than the stalks). Cut into 3-4 inch pieces. Arrange on a plate alongside your soaked almonds (12-15 almonds). Brew your detox tea: steep 1-2 bags for 3-5 minutes covered. No sweetener. Eat the celery and almonds slowly, alternating between them, while sipping the tea. Take 10-15 minutes for this snack.</t>
  </si>
  <si>
    <t>Best option for days when hunger is intense - most filling. No juicer needed.</t>
  </si>
  <si>
    <t>Apple Slices with Green Juice</t>
  </si>
  <si>
    <t>APPLE SLICES WITH GREEN JUICE: Drink your full 16 oz of water FIRST. Then wash 1 large apple and slice into thin wedges (do not peel - the skin contains quercetin and pectin). Squeeze lemon over slices immediately to prevent browning. For the juice: wash 3 celery stalks, 1/2 cucumber, a small handful of parsley or mint, and 1/2 lemon (peeled). Juice in order: celery, cucumber, herb-wrapped-in-celery, lemon last. Aim for 10-12 oz. SEQUENCE: water first, then juice, then eat apple slices.</t>
  </si>
  <si>
    <t>Best lighter option. Good for days 4-7 when appetite naturally decreases.</t>
  </si>
  <si>
    <t>Crunchy Vegetable</t>
  </si>
  <si>
    <t>Celery Stalks</t>
  </si>
  <si>
    <t>Wash 3-4 celery stalks thoroughly. Include the leaves - they contain more nutrients than the stalks. Cut into 3-4 inch pieces or leave whole.</t>
  </si>
  <si>
    <t>Default best choice - most powerful for sodium flush and bloat reduction.</t>
  </si>
  <si>
    <t>Cucumber Spears</t>
  </si>
  <si>
    <t>Wash 1 medium cucumber. Cut in half lengthwise then cut each half into 3-4 spears. No need to peel. More hydrating than celery but less diuretic.</t>
  </si>
  <si>
    <t>Most hydrating option. Good on warmer days or when celery taste has become too familiar.</t>
  </si>
  <si>
    <t>Fennel Stalks</t>
  </si>
  <si>
    <t>Trim 3-4 fennel stalks from the bulb. Include the feathery fronds - most nutrient-dense part. Cut into 3-4 inch pieces. Anise flavor. Most powerfully diuretic of the three options.</t>
  </si>
  <si>
    <t>Most powerfully diuretic. Distinctive anise flavor - try on day 3 or 4.</t>
  </si>
  <si>
    <t>Dinner</t>
  </si>
  <si>
    <t>Dinner Recipe</t>
  </si>
  <si>
    <t>Steamed Kale and Butternut Squash Bowl</t>
  </si>
  <si>
    <t>STEAMED KALE AND BUTTERNUT SQUASH BOWL: Peel and cube 1.5 cups butternut squash into 3/4-inch pieces. Cut your cruciferous vegetable into medium florets. Remove stems from your dark leafy green. Mince 2 garlic cloves and let rest 5 minutes. STEAM: 1.5 inches purified water, rolling boil. Add squash first (8-10 min total). After 4 min, add cruciferous. After 3 more min, add greens on top (2-3 min only). Test squash with fork - slight resistance is perfect. DRESSING: while steaming, combine 1 Tbsp olive oil, lemon juice, minced garlic, cayenne, and sodium-free seasoning in serving bowl. Add hot vegetables, toss immediately. Rest 2 minutes before eating.</t>
  </si>
  <si>
    <t>Default dinner. Best for all 7 days. Batch-prep squash at week start.</t>
  </si>
  <si>
    <t>Sauteed Collards and Broccoli with Garlic</t>
  </si>
  <si>
    <t>SAUTEED COLLARDS AND BROCCOLI: Remove your green stems, cut into 1/2-inch ribbons or pieces. Slice 3 garlic cloves into thin rounds (not minced). HEAT: wide skillet over medium heat 90 seconds before adding oil. Add 1 Tbsp olive oil, let shimmer. Add sliced garlic - stir constantly, golden in 60-90 seconds. Watch carefully - burns in under 30 seconds. Add cruciferous, toss to coat, single layer, 90 seconds undisturbed then toss. Add sodium-free seasoning. Add greens in batches plus 1-2 Tbsp water. Toss every 30-45 seconds. Remove from heat. Squeeze lemon over everything IMMEDIATELY off heat. Eat right away.</t>
  </si>
  <si>
    <t>Most flavorful dinner. Best for days 2-3 when monotony hits hardest. The dinner that converts skeptics.</t>
  </si>
  <si>
    <t>Raw Detox Plate</t>
  </si>
  <si>
    <t>RAW DETOX PLATE: MAKE THE DIPPING SAUCE FIRST: combine 1 Tbsp olive oil, juice of 1/2 lemon or lime, 1 small clove very finely minced garlic, small pinch cayenne, 1/2 tsp raw ACV, and a sprinkle of dulse or kelp powder. Whisk vigorously. PLATE: slice 1 cucumber into rounds, cut 2 carrots into sticks, cut 3-4 celery stalks into sticks, grate 1/2 beet into a separate bowl then scatter over plate, add 1 handful sprouts and a small handful of parsley, fan 1/2 apple thinly sliced along one edge. ARRANGE each vegetable in its own section - do not pile together. Presentation matters for this recipe.</t>
  </si>
  <si>
    <t>Lightest dinner. Best for days 5-7 when appetite naturally decreases. The dipping sauce is essential.</t>
  </si>
  <si>
    <t>Remove stems completely. Tear into large pieces for steaming or large pieces for sauteing. Most potent toxin-binding green for dinner.</t>
  </si>
  <si>
    <t>Most potent. Best everyday choice for all 7 days.</t>
  </si>
  <si>
    <t>Collard Greens</t>
  </si>
  <si>
    <t>Remove stems. For steaming: tear into pieces. For sauteing: cut into 1/2-inch ribbons (chiffonade) - thin cut is essential for even cooking. Most fiber-dense option.</t>
  </si>
  <si>
    <t>Most fiber-dense. Best for sauteed preparation. Cut thin for best results.</t>
  </si>
  <si>
    <t>Remove thick colored stems. Tear into large pieces. Wilts very quickly when sauteing - add only in the last 2 minutes. Most mild flavor.</t>
  </si>
  <si>
    <t>Most mild. Good option when kale taste has become too familiar.</t>
  </si>
  <si>
    <t>Remove any thick stems. Tear into pieces. Wilts almost instantly when sauteing - add only in the last 90 seconds. Very mild and earthy.</t>
  </si>
  <si>
    <t>Use when beets came with greens attached to avoid waste. Add at the very end of cooking.</t>
  </si>
  <si>
    <t>Starchy Vegetable</t>
  </si>
  <si>
    <t>Butternut Squash</t>
  </si>
  <si>
    <t>Peel and cube into 3/4-inch pieces. Uniform size is critical for even cooking. Easiest to prep. Mildly sweet. Batch-prep at week start - keeps 5-6 days refrigerated.</t>
  </si>
  <si>
    <t>Easiest to prep. Best everyday choice for most dinners.</t>
  </si>
  <si>
    <t>Kabocha Squash</t>
  </si>
  <si>
    <t>Peel and cube into 3/4-inch pieces. Harder skin than butternut - use a heavy knife carefully. Nuttier and denser flavor. May need 1-2 extra steam minutes.</t>
  </si>
  <si>
    <t>Richer flavor than butternut. May need extra steam time.</t>
  </si>
  <si>
    <t>Beets (cubed)</t>
  </si>
  <si>
    <t>Scrub and cube into 3/4-inch pieces (do not peel). STAINS everything - protect surface. Start steaming 4-5 minutes before squash would normally go in (12-15 min total). Turns the bowl magenta. Most liver-active starchy option.</t>
  </si>
  <si>
    <t>Most liver-active. Stains heavily. Best for days 3-7 when deeper detox is the goal.</t>
  </si>
  <si>
    <t>Evening</t>
  </si>
  <si>
    <t>Evening Tea</t>
  </si>
  <si>
    <t>Detoxifying Herbal Tea</t>
  </si>
  <si>
    <t>DETOXIFYING HERBAL TEA: Bring purified water to near boil. Remove from heat and wait 60 seconds. Add 1-2 detox herbal tea bags. Steep 5-7 minutes COVERED - roots and barks need extended steeping to release active compounds. Remove bags WITHOUT squeezing - squeezing releases bitter tannins. Sit somewhere comfortable. No screens if possible. Drink slowly over 10-15 minutes. This is your signal that the day's cleansing work is done.</t>
  </si>
  <si>
    <t>Best everyday option. Look for dandelion root, burdock, or milk thistle on the label.</t>
  </si>
  <si>
    <t>Chamomile Tea</t>
  </si>
  <si>
    <t>CHAMOMILE TEA: Bring purified water to near boil. Remove from heat, wait 60 seconds. Steep 1-2 chamomile bags for 4-5 minutes. Chamomile has fewer active detox compounds than a dedicated detox blend but is excellent for nervous system relaxation and sleep quality - and deep sleep is when the body does its most active repair work. Best choice on high-stress days. Drink slowly.</t>
  </si>
  <si>
    <t>Best on high-stress days. Less active detox but excellent for sleep quality.</t>
  </si>
  <si>
    <t>Dandelion Root Tea</t>
  </si>
  <si>
    <t>DANDELION ROOT TEA: Bring purified water to near boil. Remove from heat, wait 60 seconds. Steep 1-2 dandelion root bags for 7-10 minutes - dandelion root requires longer steeping than leaf teas to release its active compounds. Dandelion root is one of the most liver-supportive herbs available. Mildly bitter flavor. Do not add sweetener. Drink slowly.</t>
  </si>
  <si>
    <t>Most targeted liver support. Steep longer than most teas.</t>
  </si>
  <si>
    <t>Senna Tea - Evening Only - Use Carefully</t>
  </si>
  <si>
    <t>SENNA TEA - READ CAREFULLY: Senna is a stimulant laxative, significantly stronger than herbal detox tea. RULES: (1) Evening ONLY - never morning or afternoon. (2) NEVER two consecutive nights. (3) Best reserved for day 2 or 3 ONLY if elimination has been notably slow. (4) Not recommended for anyone with digestive sensitivities or on medications without consulting a doctor first. Steep 1 bag for 3 minutes ONLY. Expect results 6-12 hours later.</t>
  </si>
  <si>
    <t>USE SPARINGLY. Evening only. Never two consecutive nights. Read all cautions above.</t>
  </si>
  <si>
    <t>7-Day Organic Vegan Detox &amp; Cleanse  -  Pre-Cleanse Meal</t>
  </si>
  <si>
    <t>Recipe: Salmon, Asparagus &amp; Black Rice   |   Time: ~40 minutes   |   Method: Baked / Grilled / Sous Vide</t>
  </si>
  <si>
    <t xml:space="preserve">  WHY THIS MEAL</t>
  </si>
  <si>
    <t xml:space="preserve">  A calm, clean, satisfying meal the evening before Day 1. Salmon provides omega-3s and clean protein. Asparagus is a natural diuretic that begins flushing the system. Black rice digests slowly, keeping you full and stable through your first cleanse morning.</t>
  </si>
  <si>
    <t xml:space="preserve">  INGREDIENT SLOTS  -  Use dropdowns in the YOUR SELECTION column to customize your recipe</t>
  </si>
  <si>
    <t>Ingredient Slot</t>
  </si>
  <si>
    <t>YOUR SELECTION</t>
  </si>
  <si>
    <t>Recipe Instructions (updates with your selection)</t>
  </si>
  <si>
    <t>Alt Option 1</t>
  </si>
  <si>
    <t>Alt Option 2</t>
  </si>
  <si>
    <t xml:space="preserve">  STEP-BY-STEP INSTRUCTIONS  -  Follow these steps in order</t>
  </si>
  <si>
    <t xml:space="preserve">  Steps marked with * reference your dropdown selections above - those cells update automatically when you change your selection.</t>
  </si>
  <si>
    <t xml:space="preserve">  STEP 1  -  Cook Black Rice First</t>
  </si>
  <si>
    <t xml:space="preserve">  Rinse 1/2 cup black rice. Combine with 1-1/4 cups purified water. Bring to boil, reduce to low, cover and simmer 30-35 minutes until water is absorbed. Remove from heat, let sit covered 5 minutes. A rice cooker on the black rice setting also works.</t>
  </si>
  <si>
    <t xml:space="preserve">  STEP 2  -  Prepare the Salmon</t>
  </si>
  <si>
    <t xml:space="preserve">  See YOUR SELECTION column - the instructions change based on your chosen method above.</t>
  </si>
  <si>
    <t xml:space="preserve">  STEP 3  -  Cook the Asparagus</t>
  </si>
  <si>
    <t xml:space="preserve">  See YOUR SELECTION column - the instructions change based on your chosen prep method.</t>
  </si>
  <si>
    <t xml:space="preserve">  STEP 4  -  Plate and Serve</t>
  </si>
  <si>
    <t xml:space="preserve">  Serve salmon alongside asparagus and a generous scoop of black rice. Keep it simple - this meal is about calm and nourishment, not complexity. Eat slowly and mindfully. Tonight sets the tone for your week. After dinner: soak prunes and almonds for tomorrow.</t>
  </si>
  <si>
    <t xml:space="preserve">  TIPS AND NOTES</t>
  </si>
  <si>
    <t xml:space="preserve">  -  Soak prunes in 1/2 cup purified water tonight - you need them for breakfast tomorrow morning.</t>
  </si>
  <si>
    <t xml:space="preserve">  -  Sea salt is allowed ONLY for this pre-cleanse meal. Switch to sodium-free seasoning for all 7 cleanse days.</t>
  </si>
  <si>
    <t xml:space="preserve">  -  Wild-caught salmon is preferable to farmed - lower toxin load, higher omega-3 content.</t>
  </si>
  <si>
    <t xml:space="preserve">  -  Set out your supplements and shaker bottle tonight so your morning routine takes under 5 minutes.</t>
  </si>
  <si>
    <t>7-Day Organic Vegan Detox &amp; Cleanse  -  Morning Routine</t>
  </si>
  <si>
    <t>Recipe: Morning Routine - Every Day Upon Rising   |   Time: 5-8 minutes   |   Method: Drinks - Do this before anything else</t>
  </si>
  <si>
    <t xml:space="preserve">  The ignition sequence for each day's cleansing work. Probiotics on an empty stomach reach the gut at highest potency. Citrus water stimulates stomach acid and bile production. The morning fiber drink begins sweeping the intestinal tract before any food enters, maximizing toxin elimination all day.</t>
  </si>
  <si>
    <t xml:space="preserve">  STEP 1  -  Step 1 - Probiotics First</t>
  </si>
  <si>
    <t xml:space="preserve">  Before anything else - before food, before coffee, before your phone - drink a full 8 oz glass of purified water with your probiotics. Follow the dosage on your bottle. Probiotics on a completely empty stomach reach the gut at their highest potency.</t>
  </si>
  <si>
    <t xml:space="preserve">  STEP 2  -  Step 2 - Citrus Water</t>
  </si>
  <si>
    <t xml:space="preserve">  See YOUR SELECTION column for your chosen citrus. Drink within 5 minutes of your probiotic water. This stimulates stomach acid and bile production for the day ahead.</t>
  </si>
  <si>
    <t xml:space="preserve">  STEP 3  -  Step 3 - Morning Fiber Drink</t>
  </si>
  <si>
    <t xml:space="preserve">  Add 8 oz room temperature purified water to your shaker bottle. Add 1 Tbsp ground flax seed. Add 1 tsp unsweetened cranberry concentrate. Seal and shake vigorously for 10 seconds. Drink promptly - flax thickens within 1-2 minutes. NOTE: cranberry concentrate is used in the MORNING drink only - omit it from the evening version.</t>
  </si>
  <si>
    <t xml:space="preserve">  STEP 4  -  Exercise Note</t>
  </si>
  <si>
    <t xml:space="preserve">  If exercising this week: keep it gentle. Your body is redirecting energy toward detoxification. Light walking, yoga, or stretching are ideal. Avoid intense cardio or strength training in the first 3 days. You may feel weaker than usual - this is completely normal and temporary.</t>
  </si>
  <si>
    <t xml:space="preserve">  -  Set out supplements, shaker bottle, and probiotic the night before - morning routine should take under 5 minutes.</t>
  </si>
  <si>
    <t xml:space="preserve">  -  By 12-1 PM you should have consumed at least half your daily water goal (about 1/2 gallon).</t>
  </si>
  <si>
    <t xml:space="preserve">  -  Cranberry concentrate MUST be unsweetened - sweetened cranberry juice is not a substitute.</t>
  </si>
  <si>
    <t>7-Day Organic Vegan Detox &amp; Cleanse  -  Breakfast</t>
  </si>
  <si>
    <t>Recipe: Breakfast - Choose One of 3 Recipes   |   Time: 5-8 minutes + overnight soak   |   Method: Blended or Raw</t>
  </si>
  <si>
    <t xml:space="preserve">  Fruit-forward breakfast works with your digestive system, which handles fruit enzymes most efficiently in the morning. The soaked prunes and their liquid are non-negotiable - they provide gentle digestive support critical for Days 1-2.</t>
  </si>
  <si>
    <t xml:space="preserve">  STEP 1  -  Night Before - Soak Prunes</t>
  </si>
  <si>
    <t xml:space="preserve">  Place 4-5 dried prunes in a glass. Cover with 1/2 cup purified water. Leave overnight on the counter or in the refrigerator. By morning the liquid will be sweet, dark, and slightly syrupy. Both the prunes AND their liquid are used in your breakfast. Do not discard a single drop of the soaking liquid.</t>
  </si>
  <si>
    <t xml:space="preserve">  STEP 2  -  Morning - Prepare Your Chosen Recipe</t>
  </si>
  <si>
    <t xml:space="preserve">  See YOUR SELECTION column above. Choose your Breakfast Recipe from the dropdown, then follow the instructions that appear. If making the Smoothie Bowl, also select your Berry Type. If making the Green Citrus Smoothie, also select your Green Smoothie Base.</t>
  </si>
  <si>
    <t xml:space="preserve">  STEP 3  -  Eat Slowly</t>
  </si>
  <si>
    <t xml:space="preserve">  Regardless of which breakfast you choose, eat slowly and chew thoroughly. Digestion begins in the mouth and thorough chewing is especially important during a cleanse when your digestive system is adjusting. Take at least 10 minutes for breakfast.</t>
  </si>
  <si>
    <t xml:space="preserve">  -  NO BANANAS at any point during the cleanse - they are constipating and work against the program.</t>
  </si>
  <si>
    <t xml:space="preserve">  -  Not sweet enough? Add one more prune. NEVER add sugar, honey, or any sweetener.</t>
  </si>
  <si>
    <t xml:space="preserve">  -  Blender struggling with frozen fruit? Let berries sit at room temperature for 5 minutes first.</t>
  </si>
  <si>
    <t xml:space="preserve">  -  Green smoothie tasting too bitter? Add one more piece of sweet fruit and blend 10 more seconds.</t>
  </si>
  <si>
    <t>7-Day Organic Vegan Detox &amp; Cleanse  -  Mid-Morning Juice</t>
  </si>
  <si>
    <t>Recipe: Mid-Morning Juice - Choose One of 3 Recipes   |   Time: 8 minutes   |   Method: Fresh Pressed - Juicer Required</t>
  </si>
  <si>
    <t xml:space="preserve">  Fresh juice delivers a concentrated dose of live enzymes, vitamins, and diuretic compounds that bottled juice cannot replicate. Bottled juice is pasteurized, which destroys the live enzymes that make fresh juice therapeutically different. By noon you should have consumed at least half your daily water goal.</t>
  </si>
  <si>
    <t xml:space="preserve">  STEP 1  -  Wash and Prep All Produce</t>
  </si>
  <si>
    <t xml:space="preserve">  Wash all produce thoroughly. For the Green Detox Juice, wash parsley especially carefully as it carries grit between its leaves. For the Citrus Beet Juice, protect your cutting surface before handling beets - the juice stains permanently.</t>
  </si>
  <si>
    <t xml:space="preserve">  STEP 2  -  Juice in the Correct Order</t>
  </si>
  <si>
    <t xml:space="preserve">  See YOUR SELECTION column for your chosen recipe instructions. The order in which you feed produce into the juicer matters - follow the recipe order exactly. Denser produce goes first to build juice flow; citrus always goes last to clean remaining juice through.</t>
  </si>
  <si>
    <t xml:space="preserve">  STEP 3  -  Stir, Taste, and Drink</t>
  </si>
  <si>
    <t xml:space="preserve">  Stir the finished juice - layers settle quickly. Taste before drinking. Adjust with more apple if too strong, more citrus if too flat. Drink immediately for maximum nutritional benefit. Clean your juicer right away while pulp is still wet.</t>
  </si>
  <si>
    <t xml:space="preserve">  -  Save your juice pulp - mix it into the evening vegetable broth for extra nutrients.</t>
  </si>
  <si>
    <t xml:space="preserve">  -  Feeling most bloated on days 1-2? Choose the Green Detox Juice - works fastest for reducing water retention.</t>
  </si>
  <si>
    <t xml:space="preserve">  -  New to green juice? Start with 1 celery stalk and 1 extra apple, then build to the full recipe by day 3.</t>
  </si>
  <si>
    <t xml:space="preserve">  -  Masticating juicer extracts more nutrients with less oxidation - strongly recommended over centrifugal.</t>
  </si>
  <si>
    <t>7-Day Organic Vegan Detox &amp; Cleanse  -  Lunch</t>
  </si>
  <si>
    <t>Recipe: Lunch - Choose One of 3 Salad Recipes   |   Time: 10-15 minutes   |   Method: Raw or Steamed over Raw</t>
  </si>
  <si>
    <t xml:space="preserve">  Lunch is your largest meal and primary daily dose of dark leafy greens. Eat as much of the green base as you want - the greens are doing the toxin-binding work central to the whole program. Take Digestive Enzymes with or immediately after this meal.</t>
  </si>
  <si>
    <t xml:space="preserve">  STEP 1  -  Build Your Green Base</t>
  </si>
  <si>
    <t xml:space="preserve">  Choose your salad recipe and dark leafy green using the dropdowns above. See the YOUR SELECTION column for your specific salad recipe instructions. Add 3-4 large handfuls of mixed lettuce plus your selected dark leafy green to a large bowl.</t>
  </si>
  <si>
    <t xml:space="preserve">  STEP 2  -  Add Toppings and Dress</t>
  </si>
  <si>
    <t xml:space="preserve">  Add your chosen toppings based on the salad recipe instructions. Apply your selected dressing using the instructions in the YOUR SELECTION column. Toss thoroughly so every leaf is lightly coated.</t>
  </si>
  <si>
    <t xml:space="preserve">  STEP 3  -  Take Digestive Enzymes and Eat</t>
  </si>
  <si>
    <t xml:space="preserve">  Take Digestive Enzymes as directed on the bottle - chew 3-9 tabs with or immediately after this meal. Eat slowly and chew every bite thoroughly. Take 15-20 minutes. Still hungry? Add more lettuce greens - they are unlimited on this cleanse.</t>
  </si>
  <si>
    <t xml:space="preserve">  -  The olive oil is NOT optional - fat-soluble vitamins A, D, E, and K from greens cannot be absorbed without dietary fat.</t>
  </si>
  <si>
    <t xml:space="preserve">  -  Eat as much lettuce greens as you like - they are unlimited. Add more greens if still hungry after the salad.</t>
  </si>
  <si>
    <t xml:space="preserve">  -  Broccoli sprouts are the best upgrade for regular sprouts - highest sulforaphane content of any food available.</t>
  </si>
  <si>
    <t xml:space="preserve">  -  This salad travels well - pack in a glass container with dressing in a separate small jar.</t>
  </si>
  <si>
    <t>7-Day Organic Vegan Detox &amp; Cleanse  -  Afternoon Snack</t>
  </si>
  <si>
    <t>Recipe: Afternoon Snack - Choose One of 2 Options   |   Time: 3-10 minutes   |   Method: Raw or Raw plus Fresh Pressed</t>
  </si>
  <si>
    <t xml:space="preserve">  The 2-4 PM window is the most vulnerable point of any cleanse. Almonds provide the only significant protein and fat outside breakfast - this stabilizes blood sugar and ends cravings at the biochemical level. Drink 16 oz water FIRST, before any food. Cravings are often thirst in disguise.</t>
  </si>
  <si>
    <t xml:space="preserve">  STEP 1  -  Soak Almonds the Night Before</t>
  </si>
  <si>
    <t xml:space="preserve">  Place 12-15 raw almonds in a glass and cover with purified water. Leave overnight at room temperature or in the refrigerator. Drain and rinse in the morning. Soaked almonds are softer, easier to digest, and more nutritious because soaking neutralizes phytic acid which otherwise blocks mineral absorption.</t>
  </si>
  <si>
    <t xml:space="preserve">  STEP 2  -  Drink 16 oz Water First</t>
  </si>
  <si>
    <t xml:space="preserve">  Before eating your snack, drink your full 16 oz of purified water. This is strategic - water first expands the stomach slightly so the small amount of food that follows registers as more filling than it would on an empty stomach.</t>
  </si>
  <si>
    <t xml:space="preserve">  STEP 3  -  Prepare and Eat Slowly</t>
  </si>
  <si>
    <t xml:space="preserve">  See YOUR SELECTION column for your chosen snack option instructions. Eat slowly and deliberately over 10-15 minutes. Chew each almond at least 20 times. Sip your tea or juice throughout. The slower you eat, the more satisfied you will feel.</t>
  </si>
  <si>
    <t xml:space="preserve">  -  Still hungry after the snack? More crunchy vegetable is essentially unlimited. Try water and herbal tea before reaching for extra almonds.</t>
  </si>
  <si>
    <t xml:space="preserve">  -  12-15 almonds is the right amount. Enough to stabilize blood sugar without overloading fat intake for the day.</t>
  </si>
  <si>
    <t xml:space="preserve">  -  Save celery leaves for the evening vegetable broth - adds flavor and nutrients, nothing wasted.</t>
  </si>
  <si>
    <t xml:space="preserve">  -  Juicer feels like too much effort in the afternoon? Replace juice with a second cup of herbal tea and an extra celery stalk.</t>
  </si>
  <si>
    <t>7-Day Organic Vegan Detox &amp; Cleanse  -  Dinner</t>
  </si>
  <si>
    <t>Recipe: Dinner - Choose One of 3 Recipes   |   Time: 15-20 minutes   |   Method: Steamed, Sauteed, or Raw</t>
  </si>
  <si>
    <t xml:space="preserve">  Dinner completes the day's toxin-binding cycle. The dark leafy green grabs toxins mobilized throughout the day and carries them out overnight. The starchy vegetable provides complex carbs that sustain blood sugar through the night and prevent the late hunger that causes people to break the cleanse. Not hungry? Warm vegetable broth is a fully acceptable substitute.</t>
  </si>
  <si>
    <t xml:space="preserve">  STEP 1  -  Prep All Vegetables</t>
  </si>
  <si>
    <t xml:space="preserve">  Choose your dinner recipe and vegetable swaps using the dropdowns above. See the YOUR SELECTION column for your specific recipe instructions. Do your prep: cube starchy vegetables, remove greens stems, slice garlic and let rest 5 minutes.</t>
  </si>
  <si>
    <t xml:space="preserve">  STEP 2  -  Cook Using Your Chosen Method</t>
  </si>
  <si>
    <t xml:space="preserve">  Follow the recipe instructions in the YOUR SELECTION column exactly. For steamed dishes, never steam past slight fork resistance - slightly underdone is always better. For sauteed dishes, never overcrowd the pan - cook in batches if needed.</t>
  </si>
  <si>
    <t xml:space="preserve">  STEP 3  -  Dress and Serve</t>
  </si>
  <si>
    <t xml:space="preserve">  Apply your dressing while vegetables are still hot so it absorbs into the food rather than sitting on the surface. The acid (lemon or lime) must always be applied OFF HEAT to preserve vitamin C. Rest 2 minutes then eat slowly. Not hungry? A cup of warm vegetable broth is a fully acceptable dinner substitute.</t>
  </si>
  <si>
    <t xml:space="preserve">  -  Days 5-7: double the dark leafy green at dinner. The fiber load at night is when the body does its most active elimination work.</t>
  </si>
  <si>
    <t xml:space="preserve">  -  Batch-prep butternut squash at week start - cube the entire squash, store in glass container, use across multiple dinners.</t>
  </si>
  <si>
    <t xml:space="preserve">  -  The steaming water left in the pot is nutritious broth - season lightly and drink warm after dinner.</t>
  </si>
  <si>
    <t xml:space="preserve">  -  Want more substance? Steam 1/2 cup extra squash separately and add to the sauteed recipe for the final 2 minutes.</t>
  </si>
  <si>
    <t>7-Day Organic Vegan Detox &amp; Cleanse  -  Evening</t>
  </si>
  <si>
    <t>Recipe: Evening Routine - Do NOT Skip This   |   Time: 5 min active + 10-15 min for tea   |   Method: Drinks</t>
  </si>
  <si>
    <t xml:space="preserve">  Everything today mobilized toxins from fat cells, liver, lymphatic system, and gut wall into the digestive tract for elimination. This drink carries those toxins OUT of the body overnight. Without it, mobilized toxins can be reabsorbed through the intestinal wall - called autointoxication. This is the closing mechanism of the entire day's cleansing work. It is not optional.</t>
  </si>
  <si>
    <t xml:space="preserve">  STEP 1  -  Time This Correctly - Read Before Starting</t>
  </si>
  <si>
    <t xml:space="preserve">  The evening fiber drink must be consumed at least 90 minutes after dinner and at least 30 minutes before bed. Too close to dinner: competes with digestion. Too close to sleep: the bulk creates discomfort. Ideal: approximately 8-9 PM for people who sleep around 10:30-11 PM.</t>
  </si>
  <si>
    <t xml:space="preserve">  STEP 2  -  Prepare and DRINK FAST - Read Fully Before Starting</t>
  </si>
  <si>
    <t xml:space="preserve">  STEP A: Add 8-10 oz ROOM TEMPERATURE purified water to shaker bottle first. STEP B: Add 1 Tbsp ground flax seed. Add 1 Tbsp psyllium husk. Do NOT add cranberry - morning only. STEP C: Seal immediately. Do not wait. STEP D: Shake vigorously 10-15 seconds. STEP E - CRITICAL: Open and drink the ENTIRE contents IMMEDIATELY and CONTINUOUSLY. Do NOT sip slowly. Psyllium husk begins gelling within 60-90 seconds. The ENTIRE drink must be consumed within 30-45 seconds of opening. DRINK IT FAST, ALL AT ONCE.</t>
  </si>
  <si>
    <t xml:space="preserve">  STEP 3  -  Follow Immediately with 8 oz Water - No Pause</t>
  </si>
  <si>
    <t xml:space="preserve">  Without pausing, drink an additional 8 oz of purified water immediately after the fiber drink. This second glass is NOT optional. Psyllium husk requires significant water - insufficient water can cause the fiber to swell in the esophagus rather than the intestines. The water physically pushes the fiber mixture down where it belongs.</t>
  </si>
  <si>
    <t xml:space="preserve">  STEP 4  -  Brew and Drink Your Evening Tea</t>
  </si>
  <si>
    <t xml:space="preserve">  See YOUR SELECTION column for your chosen tea instructions. Sit somewhere comfortable. Drink slowly over 10-15 minutes. No screens if possible. This is the signal to your body that the day's work is done. The body does its most active overnight cleansing when the nervous system shifts to a relaxed state.</t>
  </si>
  <si>
    <t xml:space="preserve">  -  MOST IMPORTANT TIP: Drink the fiber drink FAST - all at once - then chase IMMEDIATELY with 8 oz water. Do not sip it slowly.</t>
  </si>
  <si>
    <t xml:space="preserve">  -  New to psyllium? Reduce to 1/2 Tbsp for days 1-3, build to the full tablespoon by day 4. Some people need gradual introduction.</t>
  </si>
  <si>
    <t xml:space="preserve">  -  The morning after this drink: expect significantly increased elimination activity. This is EXACTLY what is supposed to happen.</t>
  </si>
  <si>
    <t xml:space="preserve">  -  Whole flax seeds are NOT a substitute for ground flax seed - the body cannot digest whole flax. Must be pre-ground.</t>
  </si>
  <si>
    <t>Tick checkboxes in column A as you shop.  For Pick One categories, check only one option.</t>
  </si>
  <si>
    <t xml:space="preserve">  Budget guide:  One-time equipment varies based on what you already own.  Per-cleanse groceries ~$80-120 per week.  Supplements restock as needed across multiple cleanses.</t>
  </si>
  <si>
    <t xml:space="preserve">  SECTION 1  -  ONE-TIME EQUIPMENT</t>
  </si>
  <si>
    <t>Item / Category</t>
  </si>
  <si>
    <t>Options / Notes</t>
  </si>
  <si>
    <t>Details</t>
  </si>
  <si>
    <t>Type</t>
  </si>
  <si>
    <t>Pick One</t>
  </si>
  <si>
    <t xml:space="preserve">    Ninja Professional</t>
  </si>
  <si>
    <t>Best value for daily smoothie use. Buy once, lasts years.</t>
  </si>
  <si>
    <t xml:space="preserve">    Vitamix (Premium)</t>
  </si>
  <si>
    <t>Lifetime investment. The last blender you will ever buy.</t>
  </si>
  <si>
    <t xml:space="preserve">    Omega Masticating</t>
  </si>
  <si>
    <t>Best nutrient retention. Highly recommended over centrifugal.</t>
  </si>
  <si>
    <t xml:space="preserve">    Breville Centrifugal</t>
  </si>
  <si>
    <t>Faster and easier to clean. Good beginner option.</t>
  </si>
  <si>
    <t xml:space="preserve">    Tiered Electric Steamer</t>
  </si>
  <si>
    <t>Multi-stage cooking - squash, broccoli, and greens simultaneously.</t>
  </si>
  <si>
    <t xml:space="preserve">    Stainless Basket (stovetop)</t>
  </si>
  <si>
    <t>Fits inside any pot. Simple, inexpensive, effective.</t>
  </si>
  <si>
    <t xml:space="preserve">    Bamboo Steamer (2-tier)</t>
  </si>
  <si>
    <t>Traditional steaming. No electricity needed. 2-tier 10-inch.</t>
  </si>
  <si>
    <t xml:space="preserve">    Lunch Cooler</t>
  </si>
  <si>
    <t>Keeps salads, juices, and snacks fresh. Best for half-day outings.</t>
  </si>
  <si>
    <t xml:space="preserve">    Large Soft-Sided Cooler</t>
  </si>
  <si>
    <t>Fits a full day of meals with ice packs. Best for full-day outings.</t>
  </si>
  <si>
    <t xml:space="preserve">    Electric DC/Wall Cooler</t>
  </si>
  <si>
    <t>Operates on car or wall power. Best for frequent travelers.</t>
  </si>
  <si>
    <t>Smart Body Scale</t>
  </si>
  <si>
    <t>Weight, BMI, body fat %, muscle %, water %, bone %. Connects to phone.</t>
  </si>
  <si>
    <t>Equipment</t>
  </si>
  <si>
    <t>Shaker Bottle (16 oz+ with ball)</t>
  </si>
  <si>
    <t>Essential for morning and evening fiber drinks. The blender ball prevents clumping.</t>
  </si>
  <si>
    <t>Glass Water Bottle (32 oz+)</t>
  </si>
  <si>
    <t>For tracking daily water intake. Fill it twice daily to hit your gallon goal.</t>
  </si>
  <si>
    <t>Glass Food Storage Containers</t>
  </si>
  <si>
    <t>Pyrex set - for meal prep, soaking almonds and prunes, batch-prepped squash.</t>
  </si>
  <si>
    <t>Stainless Steel Skillet (12-inch)</t>
  </si>
  <si>
    <t>Wide pan essential for sauteed dinner recipes. Prevents overcrowding.</t>
  </si>
  <si>
    <t>Box Grater (stainless steel)</t>
  </si>
  <si>
    <t>For grating raw beets and carrots. You use this every cleanse.</t>
  </si>
  <si>
    <t>Portable Kitchen Scale (digital)</t>
  </si>
  <si>
    <t>For precise ingredient portions. Compact enough to pack for travel.</t>
  </si>
  <si>
    <t>Portable Mini Photo Printer</t>
  </si>
  <si>
    <t>Canon Ivy, HP Sprocket, or Polaroid Hi-Print. Prints progress photos from phone.</t>
  </si>
  <si>
    <t xml:space="preserve">  SECTION 2  -  PER-CLEANSE GROCERIES</t>
  </si>
  <si>
    <t xml:space="preserve">  Buy fresh each time. Two shopping trips recommended: once before Day 1, and once around Day 4 for peak freshness.</t>
  </si>
  <si>
    <t xml:space="preserve">  Delivery option: Amazon Fresh, Whole Foods, Instacart, Sam's Club, or Costco can deliver most of this list. See the companion app Shop tab for direct links.</t>
  </si>
  <si>
    <t xml:space="preserve">  Pre-Cleanse Meal</t>
  </si>
  <si>
    <t>Wild-Caught Salmon (1-2 lbs)</t>
  </si>
  <si>
    <t>Pre-cleanse meal only. Wild-caught preferred over farmed for lower toxin load.</t>
  </si>
  <si>
    <t>Fresh Asparagus (1 bunch)</t>
  </si>
  <si>
    <t>Pre-cleanse meal. Natural diuretic - begins the cleansing process.</t>
  </si>
  <si>
    <t>Organic Black Rice</t>
  </si>
  <si>
    <t>Pre-cleanse meal only. Also called forbidden rice.</t>
  </si>
  <si>
    <t xml:space="preserve">  Fresh Produce</t>
  </si>
  <si>
    <t>Organic Apples (12-24 count bag)</t>
  </si>
  <si>
    <t>Used daily in juices, smoothies, salads, snacks. Buy in bulk.</t>
  </si>
  <si>
    <t>Produce</t>
  </si>
  <si>
    <t>Organic Kale (2-3 large bunches)</t>
  </si>
  <si>
    <t>Most important green in the program. Restock around Day 4.</t>
  </si>
  <si>
    <t>Organic Spinach (large bag)</t>
  </si>
  <si>
    <t>Best beginner green for smoothies and salads.</t>
  </si>
  <si>
    <t>Organic Celery (2-3 bunches)</t>
  </si>
  <si>
    <t>Used daily in juices, snacks, and dinner. Restock at Day 4.</t>
  </si>
  <si>
    <t>Organic Carrots (5 lb bag)</t>
  </si>
  <si>
    <t>Used daily in juices and salads. Buy the large bag.</t>
  </si>
  <si>
    <t>Organic Beets (4-6 medium, fresh)</t>
  </si>
  <si>
    <t>For juices, salads, and dinner. Fresh whole beets only - not canned.</t>
  </si>
  <si>
    <t>Organic Lemons (bag of 6-8)</t>
  </si>
  <si>
    <t>Used every single day. Buy a bag.</t>
  </si>
  <si>
    <t>Organic Limes (bag of 6-8)</t>
  </si>
  <si>
    <t>Oranges or Tangerines (6-8)</t>
  </si>
  <si>
    <t>For green citrus smoothie and mid-morning juice.</t>
  </si>
  <si>
    <t>Organic Frozen Berries (2 lb)</t>
  </si>
  <si>
    <t>For breakfast smoothie bowls. Buy the bulk bag.</t>
  </si>
  <si>
    <t>Organic Butternut Squash (1-2)</t>
  </si>
  <si>
    <t>Primary dinner starchy vegetable. Batch-prep at week start.</t>
  </si>
  <si>
    <t>Organic Broccoli (2 heads)</t>
  </si>
  <si>
    <t>Primary cruciferous for dinner. Sulforaphane activates liver detox.</t>
  </si>
  <si>
    <t>Organic Cucumber (4-5 medium)</t>
  </si>
  <si>
    <t>Used in juices, salads, and snacks throughout the week.</t>
  </si>
  <si>
    <t>Organic Parsley (2 large bunches)</t>
  </si>
  <si>
    <t>Used daily in juices and salads. Most detox-active herb in the program.</t>
  </si>
  <si>
    <t>Fresh Ginger Root (3-4 inch)</t>
  </si>
  <si>
    <t>For mid-morning juices. Buy fresh root, not ground.</t>
  </si>
  <si>
    <t>Garlic (1 head)</t>
  </si>
  <si>
    <t>For dinner recipes. Organosulfur compounds support liver detox.</t>
  </si>
  <si>
    <t>Red Onion (1-2 medium)</t>
  </si>
  <si>
    <t>For lunch salads.</t>
  </si>
  <si>
    <t>Organic Sprouts (broccoli best)</t>
  </si>
  <si>
    <t>For lunch salads. Broccoli sprouts have the highest sulforaphane content.</t>
  </si>
  <si>
    <t>Mixed Lettuce (large container)</t>
  </si>
  <si>
    <t>Unlimited on the cleanse. Buy the largest container available.</t>
  </si>
  <si>
    <t>Organic Dried Prunes (1 lb bag)</t>
  </si>
  <si>
    <t>Soaked overnight, used in breakfast every day. 1 lb covers the full week.</t>
  </si>
  <si>
    <t>Raw Organic Almonds (1 lb bag)</t>
  </si>
  <si>
    <t>Soaked overnight, used as afternoon snack. 1 lb covers all 7 days.</t>
  </si>
  <si>
    <t>Seasonal Fruit (mango/papaya/peach)</t>
  </si>
  <si>
    <t>For breakfast recipes. Papaya is highest in digestive enzymes.</t>
  </si>
  <si>
    <t xml:space="preserve">  SECTION 3  -  SUPPLEMENTS AND SEASONINGS</t>
  </si>
  <si>
    <t xml:space="preserve">  Most last multiple cleanses. Check your stock before each cleanse and reorder only what you need.</t>
  </si>
  <si>
    <t>Probiotics (refrigerated, high potency)</t>
  </si>
  <si>
    <t>Garden of Life, Culturelle, or Renew Life. 10B+ CFU. Refrigerated section.</t>
  </si>
  <si>
    <t>Supplement</t>
  </si>
  <si>
    <t>Psyllium Husk Powder (organic)</t>
  </si>
  <si>
    <t>Most important supplement. Buy the powder, not capsules. Anthony's or NOW.</t>
  </si>
  <si>
    <t>Ground Flaxseed Meal (organic)</t>
  </si>
  <si>
    <t>Must be pre-ground. Whole flax seeds pass through undigested.</t>
  </si>
  <si>
    <t>Digestive Enzymes (papaya/pineapple)</t>
  </si>
  <si>
    <t>Take with every lunch. American Health or Source Naturals chewable.</t>
  </si>
  <si>
    <t>Unsweetened Cranberry Concentrate</t>
  </si>
  <si>
    <t>Must say UNSWEETENED. Dynamic Health or Lakewood Organic.</t>
  </si>
  <si>
    <t>Detox Herbal Tea (dandelion/burdock)</t>
  </si>
  <si>
    <t>Traditional Medicinals Everyday Detox or Yogi DeTox.</t>
  </si>
  <si>
    <t>Sodium-Free Seasoning (Mrs. Dash)</t>
  </si>
  <si>
    <t>Used every day of the cleanse instead of salt. Keep extra on hand.</t>
  </si>
  <si>
    <t>Raw Unfiltered Apple Cider Vinegar</t>
  </si>
  <si>
    <t>Must be raw, unfiltered, with the mother. Bragg's is the standard.</t>
  </si>
  <si>
    <t>Extra Virgin Olive Oil</t>
  </si>
  <si>
    <t>Used in every dressing and dinner recipe. Buy quality.</t>
  </si>
  <si>
    <t>Dulse Flakes or Kelp Powder</t>
  </si>
  <si>
    <t>Sodium-free mineral seasoning. Iodine and trace minerals.</t>
  </si>
  <si>
    <t>Most targeted liver support tea. Steep 7-10 minutes.</t>
  </si>
  <si>
    <t>For high-stress evenings. Best choice when sleep quality is a priority.</t>
  </si>
  <si>
    <t>Senna Leaf Tea (use with caution)</t>
  </si>
  <si>
    <t>Stimulant laxative. Evening only, never two consecutive nights.</t>
  </si>
  <si>
    <t xml:space="preserve">  SECTION 4  -  DELIVERY SERVICES</t>
  </si>
  <si>
    <t xml:space="preserve">  Prefer not to shop in person? All of these services can deliver most of the groceries on this list.</t>
  </si>
  <si>
    <t>Amazon Fresh</t>
  </si>
  <si>
    <t>Grocery delivery from Amazon. Free with Prime. Most metro areas. Affiliate links in app.</t>
  </si>
  <si>
    <t>Delivery</t>
  </si>
  <si>
    <t>Whole Foods Delivery</t>
  </si>
  <si>
    <t>Whole Foods via Amazon. Best for organic produce and specialty items.</t>
  </si>
  <si>
    <t>Instacart</t>
  </si>
  <si>
    <t>Delivery from local health food stores and supermarkets. Widest store selection.</t>
  </si>
  <si>
    <t>Sam's Club Delivery</t>
  </si>
  <si>
    <t>Bulk produce and groceries at warehouse prices. Affiliate commissions on purchases.</t>
  </si>
  <si>
    <t>Costco Delivery</t>
  </si>
  <si>
    <t>Bulk organic produce and staples. Membership required. Commission on new member sign-ups.</t>
  </si>
  <si>
    <t>DoorDash Grocery</t>
  </si>
  <si>
    <t>Grocery delivery from local stores. Good for last-minute items.</t>
  </si>
  <si>
    <t>Uber Eats Grocery</t>
  </si>
  <si>
    <t>Grocery delivery in most areas. Compare prices across stores.</t>
  </si>
  <si>
    <t xml:space="preserve">  Direct links for all equipment, supplements, and delivery services are in the companion app under Shop.</t>
  </si>
  <si>
    <t>7-Day Organic Vegan Detox &amp; Cleanse  -  Weekly Progress Tracker</t>
  </si>
  <si>
    <t>Enter measurements each morning before eating or drinking. Yellow cells = your input.  Green = auto-calculated.</t>
  </si>
  <si>
    <t xml:space="preserve">  BODY METRICS  -  Weigh yourself each morning before eating or drinking</t>
  </si>
  <si>
    <t>Metric</t>
  </si>
  <si>
    <t>Day 1</t>
  </si>
  <si>
    <t>Day 2</t>
  </si>
  <si>
    <t>Day 3</t>
  </si>
  <si>
    <t>Day 4</t>
  </si>
  <si>
    <t>Day 5</t>
  </si>
  <si>
    <t>Day 6</t>
  </si>
  <si>
    <t>Day 7</t>
  </si>
  <si>
    <t>Total Change</t>
  </si>
  <si>
    <t>Notes</t>
  </si>
  <si>
    <t>Weight (lbs)</t>
  </si>
  <si>
    <t>BMI</t>
  </si>
  <si>
    <t>Body Fat %</t>
  </si>
  <si>
    <t>Muscle %</t>
  </si>
  <si>
    <t>Bone %</t>
  </si>
  <si>
    <t>Water %</t>
  </si>
  <si>
    <t>Waist (inches)</t>
  </si>
  <si>
    <t xml:space="preserve">  DAILY WATER TRACKER  -  Goal: 1 Gallon Per Day (8+ large glasses)</t>
  </si>
  <si>
    <t>Daily Average</t>
  </si>
  <si>
    <t>Glasses consumed</t>
  </si>
  <si>
    <t xml:space="preserve">  DAILY WELLNESS CHECK  -  Rate each 1-10  (1=worst, 10=best)</t>
  </si>
  <si>
    <t>How are you feeling?</t>
  </si>
  <si>
    <t>Trend</t>
  </si>
  <si>
    <t>Energy Level</t>
  </si>
  <si>
    <t>Mental Clarity</t>
  </si>
  <si>
    <t>Mood</t>
  </si>
  <si>
    <t>Sleep Quality</t>
  </si>
  <si>
    <t>Hunger (10=not hungry)</t>
  </si>
  <si>
    <t>Skin Appearance</t>
  </si>
  <si>
    <t>Digestion</t>
  </si>
  <si>
    <t>Overall Feeling</t>
  </si>
  <si>
    <t xml:space="preserve">  DAILY JOURNAL  -  One brief reflection per prompt each evening</t>
  </si>
  <si>
    <t>Journal Prompt</t>
  </si>
  <si>
    <t>What was hardest today?</t>
  </si>
  <si>
    <t>What surprised you?</t>
  </si>
  <si>
    <t>What did you notice about your body?</t>
  </si>
  <si>
    <t>What did you eat or drink that you loved?</t>
  </si>
  <si>
    <t>What will you do differently tomorrow?</t>
  </si>
  <si>
    <t>Commitment rating today (1-10)</t>
  </si>
  <si>
    <t xml:space="preserve">  END OF WEEK RESULTS</t>
  </si>
  <si>
    <t>Result</t>
  </si>
  <si>
    <t>Your Answer</t>
  </si>
  <si>
    <t>Total weight lost (lbs)</t>
  </si>
  <si>
    <t>Energy improvement - Day 7 compared to Day 1</t>
  </si>
  <si>
    <t>Skin improvement noticed?</t>
  </si>
  <si>
    <t>Brain fog cleared?</t>
  </si>
  <si>
    <t>Digestion improvement noticed?</t>
  </si>
  <si>
    <t>Would you do this again?</t>
  </si>
  <si>
    <t>Notes - how you feel overall</t>
  </si>
  <si>
    <t xml:space="preserve">  Remember Your Commitment  -  Every day you complete brings you closer to feeling lighter, clearer, and healthier.</t>
  </si>
  <si>
    <t>7-Day Organic Vegan Detox &amp; Cleanse  -  Shopping List</t>
  </si>
  <si>
    <t xml:space="preserve">  Buy once, use every cleanse. Each pick-one category requires only ONE item - choose the option that fits your needs and budget.</t>
  </si>
  <si>
    <t>Blender  -  Required for smoothies and green drinks</t>
  </si>
  <si>
    <t>Juicer  -  Required for mid-morning and afternoon juices</t>
  </si>
  <si>
    <t>Steamer  -  Required for dinner vegetable preparation</t>
  </si>
  <si>
    <t>Portable Cooler  -  Optional - for taking meals away from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</si>
</sst>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charset val="1"/>
    </font>
    <font>
      <b/>
      <sz val="13"/>
      <color rgb="FFFFFFFF"/>
      <name val="Arial"/>
      <family val="2"/>
    </font>
    <font>
      <i/>
      <sz val="9"/>
      <color rgb="FFFFFFFF"/>
      <name val="Arial"/>
      <family val="2"/>
    </font>
    <font>
      <b/>
      <sz val="9"/>
      <color rgb="FF3D6B8C"/>
      <name val="Arial"/>
      <family val="2"/>
    </font>
    <font>
      <i/>
      <sz val="9"/>
      <color rgb="FF333333"/>
      <name val="Arial"/>
      <family val="2"/>
    </font>
    <font>
      <b/>
      <sz val="10"/>
      <color rgb="FFFFFFFF"/>
      <name val="Arial"/>
      <family val="2"/>
    </font>
    <font>
      <b/>
      <sz val="9"/>
      <color rgb="FFFFFFFF"/>
      <name val="Arial"/>
      <family val="2"/>
    </font>
    <font>
      <b/>
      <sz val="9"/>
      <color rgb="FF2D6A4F"/>
      <name val="Arial"/>
      <family val="2"/>
    </font>
    <font>
      <b/>
      <sz val="10"/>
      <color rgb="FFB8860B"/>
      <name val="Arial"/>
      <family val="2"/>
    </font>
    <font>
      <sz val="9"/>
      <color rgb="FF1A1A1A"/>
      <name val="Arial"/>
      <family val="2"/>
    </font>
    <font>
      <i/>
      <sz val="8"/>
      <color rgb="FF3D6B8C"/>
      <name val="Arial"/>
      <family val="2"/>
    </font>
    <font>
      <sz val="8"/>
      <color rgb="FF555555"/>
      <name val="Arial"/>
      <family val="2"/>
    </font>
    <font>
      <i/>
      <sz val="9"/>
      <color rgb="FF2D6A4F"/>
      <name val="Arial"/>
      <family val="2"/>
    </font>
    <font>
      <b/>
      <sz val="10"/>
      <color rgb="FF1B4332"/>
      <name val="Arial"/>
      <family val="2"/>
    </font>
    <font>
      <i/>
      <sz val="10"/>
      <color rgb="FF1A1A1A"/>
      <name val="Arial"/>
      <family val="2"/>
    </font>
    <font>
      <i/>
      <sz val="9"/>
      <color rgb="FF1A1A1A"/>
      <name val="Arial"/>
      <family val="2"/>
    </font>
    <font>
      <b/>
      <sz val="12"/>
      <color rgb="FFFFFFFF"/>
      <name val="Arial"/>
      <family val="2"/>
    </font>
    <font>
      <b/>
      <sz val="11"/>
      <color rgb="FFFFFFFF"/>
      <name val="Arial"/>
      <family val="2"/>
    </font>
    <font>
      <sz val="10"/>
      <color rgb="FF1A1A1A"/>
      <name val="Arial"/>
      <family val="2"/>
    </font>
    <font>
      <b/>
      <sz val="10"/>
      <color rgb="FF0C447C"/>
      <name val="Arial"/>
      <family val="2"/>
    </font>
    <font>
      <sz val="8"/>
      <color rgb="FF0C447C"/>
      <name val="Arial"/>
      <family val="2"/>
    </font>
    <font>
      <sz val="12"/>
      <color rgb="FFB8860B"/>
      <name val="Arial"/>
      <family val="2"/>
    </font>
    <font>
      <sz val="10"/>
      <color rgb="FF0C447C"/>
      <name val="Arial"/>
      <family val="2"/>
    </font>
    <font>
      <i/>
      <sz val="9"/>
      <color rgb="FF555555"/>
      <name val="Arial"/>
      <family val="2"/>
    </font>
    <font>
      <sz val="9"/>
      <color rgb="FF999999"/>
      <name val="Arial"/>
      <family val="2"/>
    </font>
    <font>
      <b/>
      <sz val="10"/>
      <color rgb="FF1A1A1A"/>
      <name val="Arial"/>
      <family val="2"/>
    </font>
    <font>
      <sz val="8"/>
      <color rgb="FF2D6A4F"/>
      <name val="Arial"/>
      <family val="2"/>
    </font>
    <font>
      <b/>
      <sz val="10"/>
      <color rgb="FF2D6A4F"/>
      <name val="Arial"/>
      <family val="2"/>
    </font>
    <font>
      <b/>
      <sz val="10"/>
      <color rgb="FF3D6B8C"/>
      <name val="Arial"/>
      <family val="2"/>
    </font>
    <font>
      <b/>
      <sz val="11"/>
      <color rgb="FF3D6B8C"/>
      <name val="Arial"/>
      <family val="2"/>
    </font>
    <font>
      <b/>
      <i/>
      <sz val="9"/>
      <color rgb="FF2D6A4F"/>
      <name val="Arial"/>
      <family val="2"/>
    </font>
    <font>
      <b/>
      <sz val="11"/>
      <color rgb="FF1B4332"/>
      <name val="Arial"/>
      <family val="2"/>
    </font>
    <font>
      <b/>
      <sz val="9"/>
      <color rgb="FF2D6A4F"/>
      <name val="Arial"/>
      <family val="2"/>
    </font>
    <font>
      <b/>
      <i/>
      <sz val="9"/>
      <color rgb="FF3D6B8C"/>
      <name val="Arial"/>
      <family val="2"/>
    </font>
    <font>
      <b/>
      <i/>
      <sz val="9"/>
      <color rgb="FFB8860B"/>
      <name val="Arial"/>
      <family val="2"/>
    </font>
    <font>
      <b/>
      <i/>
      <sz val="9"/>
      <color rgb="FF2D6A4F"/>
      <name val="Arial"/>
      <family val="2"/>
    </font>
    <font>
      <b/>
      <sz val="10"/>
      <color rgb="FF0C447C"/>
      <name val="Arial"/>
      <family val="2"/>
    </font>
  </fonts>
  <fills count="15">
    <fill>
      <patternFill patternType="none"/>
    </fill>
    <fill>
      <patternFill patternType="gray125"/>
    </fill>
    <fill>
      <patternFill patternType="solid">
        <fgColor rgb="FF1B4332"/>
        <bgColor rgb="FF333333"/>
      </patternFill>
    </fill>
    <fill>
      <patternFill patternType="solid">
        <fgColor rgb="FF2D6A4F"/>
        <bgColor rgb="FF3D6B8C"/>
      </patternFill>
    </fill>
    <fill>
      <patternFill patternType="solid">
        <fgColor rgb="FFFFFFFF"/>
        <bgColor rgb="FFFFFDE7"/>
      </patternFill>
    </fill>
    <fill>
      <patternFill patternType="solid">
        <fgColor rgb="FFE8F4F8"/>
        <bgColor rgb="FFE6F1FB"/>
      </patternFill>
    </fill>
    <fill>
      <patternFill patternType="solid">
        <fgColor rgb="FFF4A261"/>
        <bgColor rgb="FFD4824A"/>
      </patternFill>
    </fill>
    <fill>
      <patternFill patternType="solid">
        <fgColor rgb="FFF0FAF4"/>
        <bgColor rgb="FFE8F4F8"/>
      </patternFill>
    </fill>
    <fill>
      <patternFill patternType="solid">
        <fgColor rgb="FFFFFDE7"/>
        <bgColor rgb="FFFFF3E0"/>
      </patternFill>
    </fill>
    <fill>
      <patternFill patternType="solid">
        <fgColor rgb="FFD8F3DC"/>
        <bgColor rgb="FFE9ECEF"/>
      </patternFill>
    </fill>
    <fill>
      <patternFill patternType="solid">
        <fgColor rgb="FFFFF3E0"/>
        <bgColor rgb="FFFFFDE7"/>
      </patternFill>
    </fill>
    <fill>
      <patternFill patternType="solid">
        <fgColor rgb="FFE9ECEF"/>
        <bgColor rgb="FFE6F1FB"/>
      </patternFill>
    </fill>
    <fill>
      <patternFill patternType="solid">
        <fgColor rgb="FFE6F1FB"/>
        <bgColor rgb="FFE8F4F8"/>
      </patternFill>
    </fill>
    <fill>
      <patternFill patternType="solid">
        <fgColor rgb="FF3D6B8C"/>
        <bgColor rgb="FF2D6A4F"/>
      </patternFill>
    </fill>
    <fill>
      <patternFill patternType="solid">
        <fgColor rgb="FF3C3489"/>
        <bgColor rgb="FF333333"/>
      </patternFill>
    </fill>
  </fills>
  <borders count="27">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medium">
        <color rgb="FFF4A261"/>
      </left>
      <right style="medium">
        <color rgb="FFF4A261"/>
      </right>
      <top style="medium">
        <color rgb="FFF4A261"/>
      </top>
      <bottom style="medium">
        <color rgb="FFF4A261"/>
      </bottom>
      <diagonal/>
    </border>
    <border>
      <left style="medium">
        <color rgb="FF3D6B8C"/>
      </left>
      <right style="medium">
        <color rgb="FF3D6B8C"/>
      </right>
      <top style="medium">
        <color rgb="FF3D6B8C"/>
      </top>
      <bottom style="medium">
        <color rgb="FF3D6B8C"/>
      </bottom>
      <diagonal/>
    </border>
    <border>
      <left style="medium">
        <color rgb="FFF4A261"/>
      </left>
      <right/>
      <top style="medium">
        <color rgb="FFF4A261"/>
      </top>
      <bottom style="medium">
        <color rgb="FFF4A261"/>
      </bottom>
      <diagonal/>
    </border>
    <border>
      <left style="thin">
        <color indexed="64"/>
      </left>
      <right/>
      <top style="thin">
        <color indexed="64"/>
      </top>
      <bottom style="thin">
        <color rgb="FFCCCCCC"/>
      </bottom>
      <diagonal/>
    </border>
    <border>
      <left style="thin">
        <color rgb="FFCCCCCC"/>
      </left>
      <right/>
      <top style="thin">
        <color indexed="64"/>
      </top>
      <bottom style="thin">
        <color rgb="FFCCCCCC"/>
      </bottom>
      <diagonal/>
    </border>
    <border>
      <left style="thin">
        <color rgb="FFCCCCCC"/>
      </left>
      <right style="thin">
        <color indexed="64"/>
      </right>
      <top style="thin">
        <color indexed="64"/>
      </top>
      <bottom style="thin">
        <color rgb="FFCCCCCC"/>
      </bottom>
      <diagonal/>
    </border>
    <border>
      <left style="thin">
        <color indexed="64"/>
      </left>
      <right/>
      <top style="thin">
        <color rgb="FFCCCCCC"/>
      </top>
      <bottom style="thin">
        <color rgb="FFCCCCCC"/>
      </bottom>
      <diagonal/>
    </border>
    <border>
      <left style="thin">
        <color rgb="FFCCCCCC"/>
      </left>
      <right style="thin">
        <color indexed="64"/>
      </right>
      <top style="thin">
        <color rgb="FFCCCCCC"/>
      </top>
      <bottom style="thin">
        <color rgb="FFCCCCCC"/>
      </bottom>
      <diagonal/>
    </border>
    <border>
      <left style="thin">
        <color indexed="64"/>
      </left>
      <right/>
      <top/>
      <bottom/>
      <diagonal/>
    </border>
    <border>
      <left/>
      <right style="thin">
        <color indexed="64"/>
      </right>
      <top/>
      <bottom/>
      <diagonal/>
    </border>
    <border>
      <left style="medium">
        <color rgb="FFF4A261"/>
      </left>
      <right style="thin">
        <color indexed="64"/>
      </right>
      <top style="medium">
        <color rgb="FFF4A261"/>
      </top>
      <bottom style="medium">
        <color rgb="FFF4A261"/>
      </bottom>
      <diagonal/>
    </border>
    <border>
      <left style="thin">
        <color indexed="64"/>
      </left>
      <right/>
      <top style="thin">
        <color rgb="FFCCCCCC"/>
      </top>
      <bottom style="thin">
        <color indexed="64"/>
      </bottom>
      <diagonal/>
    </border>
    <border>
      <left style="thin">
        <color rgb="FFCCCCCC"/>
      </left>
      <right/>
      <top style="thin">
        <color rgb="FFCCCCCC"/>
      </top>
      <bottom style="thin">
        <color indexed="64"/>
      </bottom>
      <diagonal/>
    </border>
    <border>
      <left style="thin">
        <color rgb="FFCCCCCC"/>
      </left>
      <right style="thin">
        <color indexed="64"/>
      </right>
      <top style="thin">
        <color rgb="FFCCCCCC"/>
      </top>
      <bottom style="thin">
        <color indexed="64"/>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CCCCCC"/>
      </right>
      <top style="thin">
        <color rgb="FFCCCCCC"/>
      </top>
      <bottom/>
      <diagonal/>
    </border>
    <border>
      <left style="thin">
        <color indexed="64"/>
      </left>
      <right style="thin">
        <color rgb="FFCCCCCC"/>
      </right>
      <top style="thin">
        <color rgb="FFCCCCCC"/>
      </top>
      <bottom style="thin">
        <color rgb="FFCCCCCC"/>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6">
    <xf numFmtId="0" fontId="0" fillId="0" borderId="0" xfId="0"/>
    <xf numFmtId="0" fontId="0" fillId="4" borderId="0" xfId="0" applyFill="1"/>
    <xf numFmtId="0" fontId="6"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0" fillId="7" borderId="0" xfId="0" applyFill="1"/>
    <xf numFmtId="0" fontId="7" fillId="7" borderId="2" xfId="0" applyFont="1" applyFill="1" applyBorder="1" applyAlignment="1">
      <alignment horizontal="left" vertical="center" wrapText="1"/>
    </xf>
    <xf numFmtId="0" fontId="8" fillId="8" borderId="3" xfId="0" applyFont="1" applyFill="1" applyBorder="1" applyAlignment="1">
      <alignment horizontal="center" vertical="center" wrapText="1"/>
    </xf>
    <xf numFmtId="0" fontId="9" fillId="4" borderId="2" xfId="0" applyFont="1" applyFill="1" applyBorder="1" applyAlignment="1">
      <alignment horizontal="left" vertical="top" wrapText="1"/>
    </xf>
    <xf numFmtId="0" fontId="10" fillId="5" borderId="2" xfId="0" applyFont="1" applyFill="1" applyBorder="1" applyAlignment="1">
      <alignment horizontal="left" vertical="top" wrapText="1"/>
    </xf>
    <xf numFmtId="0" fontId="11" fillId="7"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0" fillId="11" borderId="2" xfId="0" applyFill="1" applyBorder="1"/>
    <xf numFmtId="0" fontId="6" fillId="2" borderId="2" xfId="0" applyFont="1" applyFill="1" applyBorder="1" applyAlignment="1">
      <alignment horizontal="center" vertical="center"/>
    </xf>
    <xf numFmtId="0" fontId="23" fillId="12" borderId="2" xfId="0" applyFont="1" applyFill="1" applyBorder="1" applyAlignment="1">
      <alignment horizontal="left" vertical="center" wrapText="1"/>
    </xf>
    <xf numFmtId="0" fontId="24" fillId="12" borderId="2" xfId="0" applyFont="1" applyFill="1" applyBorder="1" applyAlignment="1">
      <alignment horizontal="center" vertical="center" wrapText="1"/>
    </xf>
    <xf numFmtId="0" fontId="23" fillId="4" borderId="2" xfId="0" applyFont="1" applyFill="1" applyBorder="1" applyAlignment="1">
      <alignment horizontal="left" vertical="center" wrapText="1"/>
    </xf>
    <xf numFmtId="0" fontId="24" fillId="4" borderId="2" xfId="0" applyFont="1" applyFill="1" applyBorder="1" applyAlignment="1">
      <alignment horizontal="center" vertical="center" wrapText="1"/>
    </xf>
    <xf numFmtId="0" fontId="23" fillId="7" borderId="2" xfId="0" applyFont="1" applyFill="1" applyBorder="1" applyAlignment="1">
      <alignment horizontal="left" vertical="center" wrapText="1"/>
    </xf>
    <xf numFmtId="0" fontId="24" fillId="7"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13" borderId="2" xfId="0" applyFont="1" applyFill="1" applyBorder="1" applyAlignment="1">
      <alignment horizontal="center" vertical="center"/>
    </xf>
    <xf numFmtId="0" fontId="6" fillId="14" borderId="2" xfId="0" applyFont="1" applyFill="1" applyBorder="1" applyAlignment="1">
      <alignment horizontal="center" vertical="center"/>
    </xf>
    <xf numFmtId="0" fontId="6" fillId="3" borderId="2" xfId="0" applyFont="1" applyFill="1" applyBorder="1" applyAlignment="1">
      <alignment horizontal="left" vertical="center"/>
    </xf>
    <xf numFmtId="0" fontId="27" fillId="7" borderId="2" xfId="0" applyFont="1" applyFill="1" applyBorder="1" applyAlignment="1">
      <alignment horizontal="left" vertical="center" wrapText="1"/>
    </xf>
    <xf numFmtId="0" fontId="8" fillId="8" borderId="3" xfId="0" applyFont="1" applyFill="1" applyBorder="1" applyAlignment="1">
      <alignment horizontal="center" vertical="center"/>
    </xf>
    <xf numFmtId="0" fontId="27" fillId="9" borderId="2" xfId="0" applyFont="1" applyFill="1" applyBorder="1" applyAlignment="1">
      <alignment horizontal="center" vertical="center"/>
    </xf>
    <xf numFmtId="0" fontId="27" fillId="4" borderId="2" xfId="0" applyFont="1" applyFill="1" applyBorder="1" applyAlignment="1">
      <alignment horizontal="left" vertical="center" wrapText="1"/>
    </xf>
    <xf numFmtId="0" fontId="28" fillId="5" borderId="2" xfId="0" applyFont="1" applyFill="1" applyBorder="1" applyAlignment="1">
      <alignment horizontal="left" vertical="center"/>
    </xf>
    <xf numFmtId="0" fontId="29" fillId="8" borderId="4" xfId="0" applyFont="1" applyFill="1" applyBorder="1" applyAlignment="1">
      <alignment horizontal="center" vertical="center"/>
    </xf>
    <xf numFmtId="0" fontId="28" fillId="5" borderId="2" xfId="0" applyFont="1" applyFill="1" applyBorder="1" applyAlignment="1">
      <alignment horizontal="center" vertical="center"/>
    </xf>
    <xf numFmtId="0" fontId="6" fillId="2" borderId="2" xfId="0" applyFont="1" applyFill="1" applyBorder="1" applyAlignment="1">
      <alignment horizontal="left" vertical="center"/>
    </xf>
    <xf numFmtId="0" fontId="18" fillId="7" borderId="2" xfId="0" applyFont="1" applyFill="1" applyBorder="1" applyAlignment="1">
      <alignment horizontal="left" vertical="center" wrapText="1"/>
    </xf>
    <xf numFmtId="0" fontId="18" fillId="8" borderId="2" xfId="0" applyFont="1" applyFill="1" applyBorder="1" applyAlignment="1">
      <alignment horizontal="center" vertical="center"/>
    </xf>
    <xf numFmtId="0" fontId="12" fillId="9" borderId="2" xfId="0" applyFont="1" applyFill="1" applyBorder="1" applyAlignment="1">
      <alignment horizontal="center" vertical="center"/>
    </xf>
    <xf numFmtId="0" fontId="0" fillId="7" borderId="2" xfId="0" applyFill="1" applyBorder="1"/>
    <xf numFmtId="0" fontId="18" fillId="4" borderId="2" xfId="0" applyFont="1" applyFill="1" applyBorder="1" applyAlignment="1">
      <alignment horizontal="left" vertical="center" wrapText="1"/>
    </xf>
    <xf numFmtId="0" fontId="0" fillId="4" borderId="2" xfId="0" applyFill="1" applyBorder="1"/>
    <xf numFmtId="0" fontId="30" fillId="7" borderId="2" xfId="0" applyFont="1" applyFill="1" applyBorder="1" applyAlignment="1">
      <alignment horizontal="left" vertical="center" wrapText="1"/>
    </xf>
    <xf numFmtId="0" fontId="9" fillId="8" borderId="2" xfId="0" applyFont="1" applyFill="1" applyBorder="1" applyAlignment="1">
      <alignment horizontal="left" vertical="top" wrapText="1"/>
    </xf>
    <xf numFmtId="0" fontId="30" fillId="4" borderId="2" xfId="0" applyFont="1" applyFill="1" applyBorder="1" applyAlignment="1">
      <alignment horizontal="left" vertical="center" wrapText="1"/>
    </xf>
    <xf numFmtId="0" fontId="0" fillId="4" borderId="11" xfId="0" applyFill="1" applyBorder="1"/>
    <xf numFmtId="0" fontId="0" fillId="4" borderId="12" xfId="0" applyFill="1" applyBorder="1"/>
    <xf numFmtId="0" fontId="0" fillId="3" borderId="11" xfId="0" applyFill="1" applyBorder="1"/>
    <xf numFmtId="0" fontId="6" fillId="3" borderId="10" xfId="0" applyFont="1" applyFill="1" applyBorder="1" applyAlignment="1">
      <alignment horizontal="center" vertical="center"/>
    </xf>
    <xf numFmtId="0" fontId="0" fillId="7" borderId="11" xfId="0" applyFill="1" applyBorder="1"/>
    <xf numFmtId="0" fontId="23" fillId="7" borderId="10" xfId="0" applyFont="1" applyFill="1" applyBorder="1" applyAlignment="1">
      <alignment horizontal="left" vertical="center" wrapText="1"/>
    </xf>
    <xf numFmtId="0" fontId="23" fillId="4" borderId="10" xfId="0" applyFont="1" applyFill="1" applyBorder="1" applyAlignment="1">
      <alignment horizontal="left" vertical="center" wrapText="1"/>
    </xf>
    <xf numFmtId="0" fontId="0" fillId="13" borderId="11" xfId="0" applyFill="1" applyBorder="1"/>
    <xf numFmtId="0" fontId="0" fillId="13" borderId="12" xfId="0" applyFill="1" applyBorder="1"/>
    <xf numFmtId="0" fontId="0" fillId="5" borderId="11" xfId="0" applyFill="1" applyBorder="1"/>
    <xf numFmtId="0" fontId="0" fillId="5" borderId="12" xfId="0" applyFill="1" applyBorder="1"/>
    <xf numFmtId="0" fontId="0" fillId="2" borderId="11" xfId="0" applyFill="1" applyBorder="1"/>
    <xf numFmtId="0" fontId="0" fillId="2" borderId="12" xfId="0" applyFill="1" applyBorder="1"/>
    <xf numFmtId="0" fontId="0" fillId="7" borderId="10" xfId="0" applyFill="1" applyBorder="1"/>
    <xf numFmtId="0" fontId="0" fillId="4" borderId="10" xfId="0" applyFill="1" applyBorder="1"/>
    <xf numFmtId="0" fontId="0" fillId="3" borderId="0" xfId="0" applyFill="1"/>
    <xf numFmtId="0" fontId="0" fillId="3" borderId="12" xfId="0" applyFill="1" applyBorder="1"/>
    <xf numFmtId="0" fontId="6" fillId="2" borderId="10" xfId="0" applyFont="1" applyFill="1" applyBorder="1" applyAlignment="1">
      <alignment horizontal="center" vertical="center"/>
    </xf>
    <xf numFmtId="0" fontId="22" fillId="12" borderId="18" xfId="0" applyFont="1" applyFill="1" applyBorder="1" applyAlignment="1">
      <alignment horizontal="left" vertical="center" wrapText="1"/>
    </xf>
    <xf numFmtId="0" fontId="25" fillId="4" borderId="18" xfId="0" applyFont="1" applyFill="1" applyBorder="1" applyAlignment="1">
      <alignment horizontal="left" vertical="center" wrapText="1"/>
    </xf>
    <xf numFmtId="0" fontId="25" fillId="7" borderId="18" xfId="0" applyFont="1" applyFill="1" applyBorder="1" applyAlignment="1">
      <alignment horizontal="left" vertical="center" wrapText="1"/>
    </xf>
    <xf numFmtId="0" fontId="0" fillId="0" borderId="11" xfId="0" applyBorder="1"/>
    <xf numFmtId="0" fontId="0" fillId="0" borderId="12" xfId="0" applyBorder="1"/>
    <xf numFmtId="0" fontId="6" fillId="2" borderId="22" xfId="0" applyFont="1" applyFill="1" applyBorder="1" applyAlignment="1">
      <alignment horizontal="center" vertical="center"/>
    </xf>
    <xf numFmtId="0" fontId="18" fillId="8" borderId="11" xfId="0" applyFont="1" applyFill="1" applyBorder="1" applyAlignment="1">
      <alignment horizontal="left" vertical="center" wrapText="1"/>
    </xf>
    <xf numFmtId="0" fontId="20" fillId="12" borderId="10" xfId="0" applyFont="1" applyFill="1" applyBorder="1" applyAlignment="1">
      <alignment horizontal="center" vertical="center"/>
    </xf>
    <xf numFmtId="0" fontId="21" fillId="8" borderId="11" xfId="0" applyFont="1" applyFill="1" applyBorder="1" applyAlignment="1">
      <alignment horizontal="center" vertical="center"/>
    </xf>
    <xf numFmtId="0" fontId="26" fillId="7" borderId="10" xfId="0" applyFont="1" applyFill="1" applyBorder="1" applyAlignment="1">
      <alignment horizontal="center" vertical="center"/>
    </xf>
    <xf numFmtId="0" fontId="6" fillId="3" borderId="23" xfId="0" applyFont="1" applyFill="1" applyBorder="1" applyAlignment="1">
      <alignment horizontal="center" vertical="center"/>
    </xf>
    <xf numFmtId="0" fontId="6" fillId="13" borderId="22" xfId="0" applyFont="1" applyFill="1" applyBorder="1" applyAlignment="1">
      <alignment horizontal="center" vertical="center"/>
    </xf>
    <xf numFmtId="0" fontId="6" fillId="13" borderId="10" xfId="0" applyFont="1" applyFill="1" applyBorder="1" applyAlignment="1">
      <alignment horizontal="center" vertical="center"/>
    </xf>
    <xf numFmtId="0" fontId="6" fillId="14" borderId="22" xfId="0" applyFont="1" applyFill="1" applyBorder="1" applyAlignment="1">
      <alignment horizontal="center" vertical="center"/>
    </xf>
    <xf numFmtId="0" fontId="6" fillId="14" borderId="10" xfId="0" applyFont="1" applyFill="1" applyBorder="1" applyAlignment="1">
      <alignment horizontal="center" vertical="center"/>
    </xf>
    <xf numFmtId="0" fontId="6" fillId="2" borderId="23"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11" fillId="7" borderId="10" xfId="0" applyFont="1" applyFill="1" applyBorder="1" applyAlignment="1">
      <alignment horizontal="left" vertical="center" wrapText="1"/>
    </xf>
    <xf numFmtId="0" fontId="8" fillId="10" borderId="9" xfId="0" applyFont="1" applyFill="1" applyBorder="1" applyAlignment="1">
      <alignment horizontal="left" vertical="center"/>
    </xf>
    <xf numFmtId="0" fontId="8" fillId="10" borderId="1" xfId="0" applyFont="1" applyFill="1" applyBorder="1" applyAlignment="1">
      <alignment horizontal="left" vertical="center"/>
    </xf>
    <xf numFmtId="0" fontId="8" fillId="10" borderId="10" xfId="0" applyFont="1" applyFill="1" applyBorder="1" applyAlignment="1">
      <alignment horizontal="left" vertical="center"/>
    </xf>
    <xf numFmtId="0" fontId="15" fillId="10" borderId="9"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5" fillId="10" borderId="10" xfId="0" applyFont="1" applyFill="1" applyBorder="1" applyAlignment="1">
      <alignment horizontal="left" vertical="center" wrapText="1"/>
    </xf>
    <xf numFmtId="0" fontId="15" fillId="10" borderId="14" xfId="0" applyFont="1" applyFill="1" applyBorder="1" applyAlignment="1">
      <alignment horizontal="left" vertical="center" wrapText="1"/>
    </xf>
    <xf numFmtId="0" fontId="15" fillId="10" borderId="15" xfId="0" applyFont="1" applyFill="1" applyBorder="1" applyAlignment="1">
      <alignment horizontal="left" vertical="center" wrapText="1"/>
    </xf>
    <xf numFmtId="0" fontId="15" fillId="10" borderId="16" xfId="0" applyFont="1" applyFill="1" applyBorder="1" applyAlignment="1">
      <alignment horizontal="left" vertical="center" wrapText="1"/>
    </xf>
    <xf numFmtId="0" fontId="14" fillId="4" borderId="9"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4" fillId="4" borderId="10" xfId="0" applyFont="1" applyFill="1" applyBorder="1" applyAlignment="1">
      <alignment horizontal="left" vertical="center" wrapText="1"/>
    </xf>
    <xf numFmtId="0" fontId="13" fillId="9" borderId="9" xfId="0" applyFont="1" applyFill="1" applyBorder="1" applyAlignment="1">
      <alignment horizontal="left" vertical="center"/>
    </xf>
    <xf numFmtId="0" fontId="13" fillId="9" borderId="1" xfId="0" applyFont="1" applyFill="1" applyBorder="1" applyAlignment="1">
      <alignment horizontal="left" vertical="center"/>
    </xf>
    <xf numFmtId="0" fontId="13" fillId="9" borderId="10" xfId="0" applyFont="1" applyFill="1" applyBorder="1" applyAlignment="1">
      <alignment horizontal="left" vertical="center"/>
    </xf>
    <xf numFmtId="0" fontId="5" fillId="2" borderId="9" xfId="0" applyFont="1" applyFill="1" applyBorder="1" applyAlignment="1">
      <alignment horizontal="left" vertical="center"/>
    </xf>
    <xf numFmtId="0" fontId="5" fillId="2" borderId="1" xfId="0" applyFont="1" applyFill="1" applyBorder="1" applyAlignment="1">
      <alignment horizontal="left" vertical="center"/>
    </xf>
    <xf numFmtId="0" fontId="5" fillId="2" borderId="10" xfId="0" applyFont="1" applyFill="1" applyBorder="1" applyAlignment="1">
      <alignment horizontal="left" vertical="center"/>
    </xf>
    <xf numFmtId="0" fontId="12" fillId="9" borderId="9" xfId="0" applyFont="1" applyFill="1" applyBorder="1" applyAlignment="1">
      <alignment horizontal="left" vertical="center"/>
    </xf>
    <xf numFmtId="0" fontId="12" fillId="9" borderId="1" xfId="0" applyFont="1" applyFill="1" applyBorder="1" applyAlignment="1">
      <alignment horizontal="left" vertical="center"/>
    </xf>
    <xf numFmtId="0" fontId="12" fillId="9" borderId="10" xfId="0" applyFont="1" applyFill="1" applyBorder="1" applyAlignment="1">
      <alignment horizontal="left"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0" xfId="0" applyFont="1" applyFill="1" applyBorder="1" applyAlignment="1">
      <alignment horizontal="center" vertical="center"/>
    </xf>
    <xf numFmtId="0" fontId="3" fillId="5" borderId="9" xfId="0" applyFont="1" applyFill="1" applyBorder="1" applyAlignment="1">
      <alignment horizontal="left" vertical="center"/>
    </xf>
    <xf numFmtId="0" fontId="3" fillId="5" borderId="1" xfId="0" applyFont="1" applyFill="1" applyBorder="1" applyAlignment="1">
      <alignment horizontal="left" vertical="center"/>
    </xf>
    <xf numFmtId="0" fontId="3" fillId="5" borderId="10" xfId="0" applyFont="1" applyFill="1" applyBorder="1" applyAlignment="1">
      <alignment horizontal="left" vertical="center"/>
    </xf>
    <xf numFmtId="0" fontId="4" fillId="5" borderId="9"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5" fillId="3" borderId="9" xfId="0" applyFont="1" applyFill="1" applyBorder="1" applyAlignment="1">
      <alignment horizontal="left" vertical="center"/>
    </xf>
    <xf numFmtId="0" fontId="5" fillId="3" borderId="1" xfId="0" applyFont="1" applyFill="1" applyBorder="1" applyAlignment="1">
      <alignment horizontal="left" vertical="center"/>
    </xf>
    <xf numFmtId="0" fontId="5" fillId="3" borderId="10" xfId="0" applyFont="1" applyFill="1" applyBorder="1" applyAlignment="1">
      <alignment horizontal="left" vertical="center"/>
    </xf>
    <xf numFmtId="0" fontId="1" fillId="2" borderId="1" xfId="0" applyFont="1" applyFill="1" applyBorder="1" applyAlignment="1">
      <alignment horizontal="center" vertical="center"/>
    </xf>
    <xf numFmtId="0" fontId="32" fillId="9" borderId="11" xfId="0" applyFont="1" applyFill="1" applyBorder="1" applyAlignment="1">
      <alignment horizontal="left" vertical="center" wrapText="1"/>
    </xf>
    <xf numFmtId="0" fontId="32" fillId="9" borderId="0" xfId="0" applyFont="1" applyFill="1" applyAlignment="1">
      <alignment horizontal="left" vertical="center" wrapText="1"/>
    </xf>
    <xf numFmtId="0" fontId="32" fillId="9" borderId="12" xfId="0" applyFont="1" applyFill="1" applyBorder="1" applyAlignment="1">
      <alignment horizontal="left" vertical="center" wrapText="1"/>
    </xf>
    <xf numFmtId="0" fontId="17" fillId="14" borderId="11" xfId="0" applyFont="1" applyFill="1" applyBorder="1" applyAlignment="1">
      <alignment horizontal="left" vertical="center" wrapText="1"/>
    </xf>
    <xf numFmtId="0" fontId="17" fillId="14" borderId="0" xfId="0" applyFont="1" applyFill="1" applyAlignment="1">
      <alignment horizontal="left" vertical="center" wrapText="1"/>
    </xf>
    <xf numFmtId="0" fontId="17" fillId="14" borderId="12" xfId="0" applyFont="1" applyFill="1" applyBorder="1" applyAlignment="1">
      <alignment horizontal="left" vertical="center" wrapText="1"/>
    </xf>
    <xf numFmtId="0" fontId="35" fillId="9" borderId="24" xfId="0" applyFont="1" applyFill="1" applyBorder="1" applyAlignment="1">
      <alignment horizontal="left" vertical="center"/>
    </xf>
    <xf numFmtId="0" fontId="35" fillId="9" borderId="25" xfId="0" applyFont="1" applyFill="1" applyBorder="1" applyAlignment="1">
      <alignment horizontal="left" vertical="center"/>
    </xf>
    <xf numFmtId="0" fontId="35" fillId="9" borderId="26" xfId="0" applyFont="1" applyFill="1" applyBorder="1" applyAlignment="1">
      <alignment horizontal="left" vertical="center"/>
    </xf>
    <xf numFmtId="0" fontId="34" fillId="10" borderId="11" xfId="0" applyFont="1" applyFill="1" applyBorder="1" applyAlignment="1">
      <alignment horizontal="left" vertical="center" wrapText="1"/>
    </xf>
    <xf numFmtId="0" fontId="34" fillId="10" borderId="0" xfId="0" applyFont="1" applyFill="1" applyAlignment="1">
      <alignment horizontal="left" vertical="center" wrapText="1"/>
    </xf>
    <xf numFmtId="0" fontId="34" fillId="10" borderId="12"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7" fillId="9" borderId="0" xfId="0" applyFont="1" applyFill="1" applyAlignment="1">
      <alignment horizontal="left" vertical="center" wrapText="1"/>
    </xf>
    <xf numFmtId="0" fontId="7" fillId="9" borderId="12" xfId="0" applyFont="1" applyFill="1" applyBorder="1" applyAlignment="1">
      <alignment horizontal="left" vertical="center" wrapText="1"/>
    </xf>
    <xf numFmtId="0" fontId="17" fillId="13" borderId="11" xfId="0" applyFont="1" applyFill="1" applyBorder="1" applyAlignment="1">
      <alignment horizontal="left" vertical="center" wrapText="1"/>
    </xf>
    <xf numFmtId="0" fontId="17" fillId="13" borderId="0" xfId="0" applyFont="1" applyFill="1" applyAlignment="1">
      <alignment horizontal="left" vertical="center" wrapText="1"/>
    </xf>
    <xf numFmtId="0" fontId="17" fillId="13" borderId="12" xfId="0" applyFont="1" applyFill="1" applyBorder="1" applyAlignment="1">
      <alignment horizontal="left" vertical="center" wrapText="1"/>
    </xf>
    <xf numFmtId="0" fontId="36" fillId="12" borderId="17" xfId="0" applyFont="1" applyFill="1" applyBorder="1" applyAlignment="1">
      <alignment horizontal="left" vertical="center"/>
    </xf>
    <xf numFmtId="0" fontId="19" fillId="12" borderId="1" xfId="0" applyFont="1" applyFill="1" applyBorder="1" applyAlignment="1">
      <alignment horizontal="left" vertical="center"/>
    </xf>
    <xf numFmtId="0" fontId="19" fillId="12" borderId="17" xfId="0" applyFont="1" applyFill="1" applyBorder="1" applyAlignment="1">
      <alignment horizontal="left" vertical="center"/>
    </xf>
    <xf numFmtId="0" fontId="17" fillId="3" borderId="11" xfId="0" applyFont="1" applyFill="1" applyBorder="1" applyAlignment="1">
      <alignment horizontal="left" vertical="center" wrapText="1"/>
    </xf>
    <xf numFmtId="0" fontId="17" fillId="3" borderId="0" xfId="0" applyFont="1" applyFill="1" applyAlignment="1">
      <alignment horizontal="left" vertical="center" wrapText="1"/>
    </xf>
    <xf numFmtId="0" fontId="17" fillId="3" borderId="12" xfId="0" applyFont="1" applyFill="1" applyBorder="1" applyAlignment="1">
      <alignment horizontal="left" vertical="center" wrapText="1"/>
    </xf>
    <xf numFmtId="0" fontId="16" fillId="2" borderId="19" xfId="0" applyFont="1" applyFill="1" applyBorder="1" applyAlignment="1">
      <alignment horizontal="center" vertical="center"/>
    </xf>
    <xf numFmtId="0" fontId="16" fillId="2" borderId="20" xfId="0" applyFont="1" applyFill="1" applyBorder="1" applyAlignment="1">
      <alignment horizontal="center" vertical="center"/>
    </xf>
    <xf numFmtId="0" fontId="16" fillId="2" borderId="21"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0" xfId="0" applyFont="1" applyFill="1" applyAlignment="1">
      <alignment horizontal="center" vertical="center"/>
    </xf>
    <xf numFmtId="0" fontId="2" fillId="3" borderId="12" xfId="0" applyFont="1" applyFill="1" applyBorder="1" applyAlignment="1">
      <alignment horizontal="center" vertical="center"/>
    </xf>
    <xf numFmtId="0" fontId="33" fillId="5" borderId="11" xfId="0" applyFont="1" applyFill="1" applyBorder="1" applyAlignment="1">
      <alignment horizontal="left" vertical="center" wrapText="1"/>
    </xf>
    <xf numFmtId="0" fontId="33" fillId="5" borderId="0" xfId="0" applyFont="1" applyFill="1" applyAlignment="1">
      <alignment horizontal="left" vertical="center" wrapText="1"/>
    </xf>
    <xf numFmtId="0" fontId="33" fillId="5" borderId="12" xfId="0" applyFont="1" applyFill="1" applyBorder="1" applyAlignment="1">
      <alignment horizontal="left" vertical="center" wrapText="1"/>
    </xf>
    <xf numFmtId="0" fontId="17" fillId="2" borderId="11" xfId="0" applyFont="1" applyFill="1" applyBorder="1" applyAlignment="1">
      <alignment horizontal="left" vertical="center" wrapText="1"/>
    </xf>
    <xf numFmtId="0" fontId="17" fillId="2" borderId="0" xfId="0" applyFont="1" applyFill="1" applyAlignment="1">
      <alignment horizontal="left" vertical="center" wrapText="1"/>
    </xf>
    <xf numFmtId="0" fontId="17" fillId="2" borderId="12" xfId="0" applyFont="1" applyFill="1" applyBorder="1" applyAlignment="1">
      <alignment horizontal="left" vertical="center" wrapText="1"/>
    </xf>
    <xf numFmtId="0" fontId="31" fillId="9" borderId="14" xfId="0" applyFont="1" applyFill="1" applyBorder="1" applyAlignment="1">
      <alignment horizontal="center" vertical="center"/>
    </xf>
    <xf numFmtId="0" fontId="31" fillId="9" borderId="15" xfId="0" applyFont="1" applyFill="1" applyBorder="1" applyAlignment="1">
      <alignment horizontal="center" vertical="center"/>
    </xf>
    <xf numFmtId="0" fontId="31" fillId="9" borderId="16" xfId="0" applyFont="1" applyFill="1" applyBorder="1" applyAlignment="1">
      <alignment horizontal="center" vertical="center"/>
    </xf>
    <xf numFmtId="0" fontId="27" fillId="7" borderId="9" xfId="0" applyFont="1" applyFill="1" applyBorder="1" applyAlignment="1">
      <alignment horizontal="left" vertical="center" wrapText="1"/>
    </xf>
    <xf numFmtId="0" fontId="27" fillId="7" borderId="1" xfId="0" applyFont="1" applyFill="1" applyBorder="1" applyAlignment="1">
      <alignment horizontal="left" vertical="center" wrapText="1"/>
    </xf>
    <xf numFmtId="0" fontId="18" fillId="8" borderId="5" xfId="0" applyFont="1" applyFill="1" applyBorder="1" applyAlignment="1">
      <alignment horizontal="left" vertical="center" wrapText="1"/>
    </xf>
    <xf numFmtId="0" fontId="18" fillId="8" borderId="13" xfId="0" applyFont="1" applyFill="1" applyBorder="1" applyAlignment="1">
      <alignment horizontal="left" vertical="center" wrapText="1"/>
    </xf>
    <xf numFmtId="0" fontId="27" fillId="4" borderId="9"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6" fillId="2" borderId="9"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0" xfId="0" applyFont="1" applyFill="1" applyBorder="1" applyAlignment="1">
      <alignment horizontal="center" vertical="center"/>
    </xf>
    <xf numFmtId="0" fontId="5" fillId="13" borderId="9" xfId="0" applyFont="1" applyFill="1" applyBorder="1" applyAlignment="1">
      <alignment horizontal="left" vertical="center"/>
    </xf>
    <xf numFmtId="0" fontId="5" fillId="13" borderId="1" xfId="0" applyFont="1" applyFill="1" applyBorder="1" applyAlignment="1">
      <alignment horizontal="left" vertical="center"/>
    </xf>
    <xf numFmtId="0" fontId="5" fillId="13" borderId="10"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2D6A4F"/>
      <rgbColor rgb="FFCCCCCC"/>
      <rgbColor rgb="FF555555"/>
      <rgbColor rgb="FF9999FF"/>
      <rgbColor rgb="FF993366"/>
      <rgbColor rgb="FFFFFDE7"/>
      <rgbColor rgb="FFE8F4F8"/>
      <rgbColor rgb="FF660066"/>
      <rgbColor rgb="FFF4A261"/>
      <rgbColor rgb="FF0066CC"/>
      <rgbColor rgb="FFE9ECEF"/>
      <rgbColor rgb="FF000080"/>
      <rgbColor rgb="FFFF00FF"/>
      <rgbColor rgb="FFFFFF00"/>
      <rgbColor rgb="FF00FFFF"/>
      <rgbColor rgb="FF800080"/>
      <rgbColor rgb="FF800000"/>
      <rgbColor rgb="FF008080"/>
      <rgbColor rgb="FF0000FF"/>
      <rgbColor rgb="FF00CCFF"/>
      <rgbColor rgb="FFE6F1FB"/>
      <rgbColor rgb="FFD8F3DC"/>
      <rgbColor rgb="FFFFF3E0"/>
      <rgbColor rgb="FF99CCFF"/>
      <rgbColor rgb="FFFF99CC"/>
      <rgbColor rgb="FFCC99FF"/>
      <rgbColor rgb="FFF0FAF4"/>
      <rgbColor rgb="FF3366FF"/>
      <rgbColor rgb="FF33CCCC"/>
      <rgbColor rgb="FF99CC00"/>
      <rgbColor rgb="FFFFCC00"/>
      <rgbColor rgb="FFD4824A"/>
      <rgbColor rgb="FFFF6600"/>
      <rgbColor rgb="FF3D6B8C"/>
      <rgbColor rgb="FF999999"/>
      <rgbColor rgb="FF0C447C"/>
      <rgbColor rgb="FF339966"/>
      <rgbColor rgb="FF1A1A1A"/>
      <rgbColor rgb="FF1B4332"/>
      <rgbColor rgb="FFB05020"/>
      <rgbColor rgb="FF993366"/>
      <rgbColor rgb="FF3C348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zoomScaleNormal="100" workbookViewId="0"/>
  </sheetViews>
  <sheetFormatPr defaultColWidth="8.6640625" defaultRowHeight="14.4" x14ac:dyDescent="0.3"/>
  <sheetData>
    <row r="1" spans="1:5" ht="15" customHeight="1" x14ac:dyDescent="0.3">
      <c r="A1" t="s">
        <v>0</v>
      </c>
      <c r="B1" t="s">
        <v>1</v>
      </c>
      <c r="C1" t="s">
        <v>2</v>
      </c>
      <c r="D1" t="s">
        <v>3</v>
      </c>
      <c r="E1" t="s">
        <v>4</v>
      </c>
    </row>
    <row r="2" spans="1:5" ht="15" customHeight="1" x14ac:dyDescent="0.3">
      <c r="A2" t="s">
        <v>5</v>
      </c>
      <c r="B2" t="s">
        <v>6</v>
      </c>
      <c r="C2" t="s">
        <v>7</v>
      </c>
      <c r="D2" t="s">
        <v>8</v>
      </c>
      <c r="E2" t="s">
        <v>9</v>
      </c>
    </row>
    <row r="3" spans="1:5" ht="15" customHeight="1" x14ac:dyDescent="0.3">
      <c r="A3" t="s">
        <v>5</v>
      </c>
      <c r="B3" t="s">
        <v>6</v>
      </c>
      <c r="C3" t="s">
        <v>10</v>
      </c>
      <c r="D3" t="s">
        <v>11</v>
      </c>
      <c r="E3" t="s">
        <v>12</v>
      </c>
    </row>
    <row r="4" spans="1:5" ht="15" customHeight="1" x14ac:dyDescent="0.3">
      <c r="A4" t="s">
        <v>5</v>
      </c>
      <c r="B4" t="s">
        <v>6</v>
      </c>
      <c r="C4" t="s">
        <v>13</v>
      </c>
      <c r="D4" t="s">
        <v>14</v>
      </c>
      <c r="E4" t="s">
        <v>15</v>
      </c>
    </row>
    <row r="5" spans="1:5" ht="15" customHeight="1" x14ac:dyDescent="0.3">
      <c r="A5" t="s">
        <v>5</v>
      </c>
      <c r="B5" t="s">
        <v>16</v>
      </c>
      <c r="C5" t="s">
        <v>17</v>
      </c>
      <c r="D5" t="s">
        <v>18</v>
      </c>
      <c r="E5" t="s">
        <v>19</v>
      </c>
    </row>
    <row r="6" spans="1:5" ht="15" customHeight="1" x14ac:dyDescent="0.3">
      <c r="A6" t="s">
        <v>5</v>
      </c>
      <c r="B6" t="s">
        <v>16</v>
      </c>
      <c r="C6" t="s">
        <v>20</v>
      </c>
      <c r="D6" t="s">
        <v>21</v>
      </c>
      <c r="E6" t="s">
        <v>22</v>
      </c>
    </row>
    <row r="7" spans="1:5" ht="15" customHeight="1" x14ac:dyDescent="0.3">
      <c r="A7" t="s">
        <v>5</v>
      </c>
      <c r="B7" t="s">
        <v>16</v>
      </c>
      <c r="C7" t="s">
        <v>10</v>
      </c>
      <c r="D7" t="s">
        <v>23</v>
      </c>
      <c r="E7" t="s">
        <v>24</v>
      </c>
    </row>
    <row r="8" spans="1:5" ht="15" customHeight="1" x14ac:dyDescent="0.3">
      <c r="A8" t="s">
        <v>25</v>
      </c>
      <c r="B8" t="s">
        <v>26</v>
      </c>
      <c r="C8" t="s">
        <v>27</v>
      </c>
      <c r="D8" t="s">
        <v>28</v>
      </c>
      <c r="E8" t="s">
        <v>29</v>
      </c>
    </row>
    <row r="9" spans="1:5" ht="15" customHeight="1" x14ac:dyDescent="0.3">
      <c r="A9" t="s">
        <v>25</v>
      </c>
      <c r="B9" t="s">
        <v>26</v>
      </c>
      <c r="C9" t="s">
        <v>30</v>
      </c>
      <c r="D9" t="s">
        <v>31</v>
      </c>
      <c r="E9" t="s">
        <v>32</v>
      </c>
    </row>
    <row r="10" spans="1:5" ht="15" customHeight="1" x14ac:dyDescent="0.3">
      <c r="A10" t="s">
        <v>33</v>
      </c>
      <c r="B10" t="s">
        <v>34</v>
      </c>
      <c r="C10" t="s">
        <v>35</v>
      </c>
      <c r="D10" t="s">
        <v>36</v>
      </c>
      <c r="E10" t="s">
        <v>37</v>
      </c>
    </row>
    <row r="11" spans="1:5" ht="15" customHeight="1" x14ac:dyDescent="0.3">
      <c r="A11" t="s">
        <v>33</v>
      </c>
      <c r="B11" t="s">
        <v>34</v>
      </c>
      <c r="C11" t="s">
        <v>38</v>
      </c>
      <c r="D11" t="s">
        <v>39</v>
      </c>
      <c r="E11" t="s">
        <v>40</v>
      </c>
    </row>
    <row r="12" spans="1:5" ht="15" customHeight="1" x14ac:dyDescent="0.3">
      <c r="A12" t="s">
        <v>33</v>
      </c>
      <c r="B12" t="s">
        <v>34</v>
      </c>
      <c r="C12" t="s">
        <v>41</v>
      </c>
      <c r="D12" t="s">
        <v>42</v>
      </c>
      <c r="E12" t="s">
        <v>43</v>
      </c>
    </row>
    <row r="13" spans="1:5" ht="15" customHeight="1" x14ac:dyDescent="0.3">
      <c r="A13" t="s">
        <v>33</v>
      </c>
      <c r="B13" t="s">
        <v>44</v>
      </c>
      <c r="C13" t="s">
        <v>45</v>
      </c>
      <c r="D13" t="s">
        <v>46</v>
      </c>
      <c r="E13" t="s">
        <v>47</v>
      </c>
    </row>
    <row r="14" spans="1:5" ht="15" customHeight="1" x14ac:dyDescent="0.3">
      <c r="A14" t="s">
        <v>33</v>
      </c>
      <c r="B14" t="s">
        <v>44</v>
      </c>
      <c r="C14" t="s">
        <v>48</v>
      </c>
      <c r="D14" t="s">
        <v>49</v>
      </c>
      <c r="E14" t="s">
        <v>50</v>
      </c>
    </row>
    <row r="15" spans="1:5" ht="15" customHeight="1" x14ac:dyDescent="0.3">
      <c r="A15" t="s">
        <v>33</v>
      </c>
      <c r="B15" t="s">
        <v>44</v>
      </c>
      <c r="C15" t="s">
        <v>51</v>
      </c>
      <c r="D15" t="s">
        <v>52</v>
      </c>
      <c r="E15" t="s">
        <v>53</v>
      </c>
    </row>
    <row r="16" spans="1:5" ht="15" customHeight="1" x14ac:dyDescent="0.3">
      <c r="A16" t="s">
        <v>33</v>
      </c>
      <c r="B16" t="s">
        <v>44</v>
      </c>
      <c r="C16" t="s">
        <v>54</v>
      </c>
      <c r="D16" t="s">
        <v>55</v>
      </c>
      <c r="E16" t="s">
        <v>56</v>
      </c>
    </row>
    <row r="17" spans="1:5" ht="15" customHeight="1" x14ac:dyDescent="0.3">
      <c r="A17" t="s">
        <v>33</v>
      </c>
      <c r="B17" t="s">
        <v>57</v>
      </c>
      <c r="C17" t="s">
        <v>58</v>
      </c>
      <c r="D17" t="s">
        <v>59</v>
      </c>
      <c r="E17" t="s">
        <v>60</v>
      </c>
    </row>
    <row r="18" spans="1:5" ht="15" customHeight="1" x14ac:dyDescent="0.3">
      <c r="A18" t="s">
        <v>33</v>
      </c>
      <c r="B18" t="s">
        <v>57</v>
      </c>
      <c r="C18" t="s">
        <v>61</v>
      </c>
      <c r="D18" t="s">
        <v>62</v>
      </c>
      <c r="E18" t="s">
        <v>63</v>
      </c>
    </row>
    <row r="19" spans="1:5" ht="15" customHeight="1" x14ac:dyDescent="0.3">
      <c r="A19" t="s">
        <v>33</v>
      </c>
      <c r="B19" t="s">
        <v>57</v>
      </c>
      <c r="C19" t="s">
        <v>64</v>
      </c>
      <c r="D19" t="s">
        <v>65</v>
      </c>
      <c r="E19" t="s">
        <v>66</v>
      </c>
    </row>
    <row r="20" spans="1:5" ht="15" customHeight="1" x14ac:dyDescent="0.3">
      <c r="A20" t="s">
        <v>33</v>
      </c>
      <c r="B20" t="s">
        <v>57</v>
      </c>
      <c r="C20" t="s">
        <v>67</v>
      </c>
      <c r="D20" t="s">
        <v>68</v>
      </c>
      <c r="E20" t="s">
        <v>69</v>
      </c>
    </row>
    <row r="21" spans="1:5" ht="15" customHeight="1" x14ac:dyDescent="0.3">
      <c r="A21" t="s">
        <v>70</v>
      </c>
      <c r="B21" t="s">
        <v>71</v>
      </c>
      <c r="C21" t="s">
        <v>72</v>
      </c>
      <c r="D21" t="s">
        <v>73</v>
      </c>
      <c r="E21" t="s">
        <v>74</v>
      </c>
    </row>
    <row r="22" spans="1:5" ht="15" customHeight="1" x14ac:dyDescent="0.3">
      <c r="A22" t="s">
        <v>70</v>
      </c>
      <c r="B22" t="s">
        <v>71</v>
      </c>
      <c r="C22" t="s">
        <v>75</v>
      </c>
      <c r="D22" t="s">
        <v>76</v>
      </c>
      <c r="E22" t="s">
        <v>77</v>
      </c>
    </row>
    <row r="23" spans="1:5" ht="15" customHeight="1" x14ac:dyDescent="0.3">
      <c r="A23" t="s">
        <v>70</v>
      </c>
      <c r="B23" t="s">
        <v>71</v>
      </c>
      <c r="C23" t="s">
        <v>78</v>
      </c>
      <c r="D23" t="s">
        <v>79</v>
      </c>
      <c r="E23" t="s">
        <v>80</v>
      </c>
    </row>
    <row r="24" spans="1:5" ht="15" customHeight="1" x14ac:dyDescent="0.3">
      <c r="A24" t="s">
        <v>70</v>
      </c>
      <c r="B24" t="s">
        <v>81</v>
      </c>
      <c r="C24" t="s">
        <v>82</v>
      </c>
      <c r="D24" t="s">
        <v>83</v>
      </c>
      <c r="E24" t="s">
        <v>84</v>
      </c>
    </row>
    <row r="25" spans="1:5" ht="15" customHeight="1" x14ac:dyDescent="0.3">
      <c r="A25" t="s">
        <v>70</v>
      </c>
      <c r="B25" t="s">
        <v>81</v>
      </c>
      <c r="C25" t="s">
        <v>85</v>
      </c>
      <c r="D25" t="s">
        <v>86</v>
      </c>
      <c r="E25" t="s">
        <v>87</v>
      </c>
    </row>
    <row r="26" spans="1:5" ht="15" customHeight="1" x14ac:dyDescent="0.3">
      <c r="A26" t="s">
        <v>70</v>
      </c>
      <c r="B26" t="s">
        <v>88</v>
      </c>
      <c r="C26" t="s">
        <v>89</v>
      </c>
      <c r="D26" t="s">
        <v>90</v>
      </c>
      <c r="E26" t="s">
        <v>91</v>
      </c>
    </row>
    <row r="27" spans="1:5" ht="15" customHeight="1" x14ac:dyDescent="0.3">
      <c r="A27" t="s">
        <v>70</v>
      </c>
      <c r="B27" t="s">
        <v>88</v>
      </c>
      <c r="C27" t="s">
        <v>92</v>
      </c>
      <c r="D27" t="s">
        <v>93</v>
      </c>
      <c r="E27" t="s">
        <v>94</v>
      </c>
    </row>
    <row r="28" spans="1:5" ht="15" customHeight="1" x14ac:dyDescent="0.3">
      <c r="A28" t="s">
        <v>70</v>
      </c>
      <c r="B28" t="s">
        <v>88</v>
      </c>
      <c r="C28" t="s">
        <v>95</v>
      </c>
      <c r="D28" t="s">
        <v>96</v>
      </c>
      <c r="E28" t="s">
        <v>97</v>
      </c>
    </row>
    <row r="29" spans="1:5" ht="15" customHeight="1" x14ac:dyDescent="0.3">
      <c r="A29" t="s">
        <v>98</v>
      </c>
      <c r="B29" t="s">
        <v>99</v>
      </c>
      <c r="C29" t="s">
        <v>100</v>
      </c>
      <c r="D29" t="s">
        <v>101</v>
      </c>
      <c r="E29" t="s">
        <v>102</v>
      </c>
    </row>
    <row r="30" spans="1:5" ht="15" customHeight="1" x14ac:dyDescent="0.3">
      <c r="A30" t="s">
        <v>98</v>
      </c>
      <c r="B30" t="s">
        <v>99</v>
      </c>
      <c r="C30" t="s">
        <v>103</v>
      </c>
      <c r="D30" t="s">
        <v>104</v>
      </c>
      <c r="E30" t="s">
        <v>105</v>
      </c>
    </row>
    <row r="31" spans="1:5" ht="15" customHeight="1" x14ac:dyDescent="0.3">
      <c r="A31" t="s">
        <v>98</v>
      </c>
      <c r="B31" t="s">
        <v>99</v>
      </c>
      <c r="C31" t="s">
        <v>106</v>
      </c>
      <c r="D31" t="s">
        <v>107</v>
      </c>
      <c r="E31" t="s">
        <v>108</v>
      </c>
    </row>
    <row r="32" spans="1:5" ht="15" customHeight="1" x14ac:dyDescent="0.3">
      <c r="A32" t="s">
        <v>98</v>
      </c>
      <c r="B32" t="s">
        <v>109</v>
      </c>
      <c r="C32" t="s">
        <v>58</v>
      </c>
      <c r="D32" t="s">
        <v>110</v>
      </c>
      <c r="E32" t="s">
        <v>111</v>
      </c>
    </row>
    <row r="33" spans="1:5" ht="15" customHeight="1" x14ac:dyDescent="0.3">
      <c r="A33" t="s">
        <v>98</v>
      </c>
      <c r="B33" t="s">
        <v>109</v>
      </c>
      <c r="C33" t="s">
        <v>61</v>
      </c>
      <c r="D33" t="s">
        <v>112</v>
      </c>
      <c r="E33" t="s">
        <v>113</v>
      </c>
    </row>
    <row r="34" spans="1:5" ht="15" customHeight="1" x14ac:dyDescent="0.3">
      <c r="A34" t="s">
        <v>98</v>
      </c>
      <c r="B34" t="s">
        <v>109</v>
      </c>
      <c r="C34" t="s">
        <v>114</v>
      </c>
      <c r="D34" t="s">
        <v>115</v>
      </c>
      <c r="E34" t="s">
        <v>116</v>
      </c>
    </row>
    <row r="35" spans="1:5" ht="15" customHeight="1" x14ac:dyDescent="0.3">
      <c r="A35" t="s">
        <v>98</v>
      </c>
      <c r="B35" t="s">
        <v>109</v>
      </c>
      <c r="C35" t="s">
        <v>67</v>
      </c>
      <c r="D35" t="s">
        <v>117</v>
      </c>
      <c r="E35" t="s">
        <v>118</v>
      </c>
    </row>
    <row r="36" spans="1:5" ht="15" customHeight="1" x14ac:dyDescent="0.3">
      <c r="A36" t="s">
        <v>98</v>
      </c>
      <c r="B36" t="s">
        <v>119</v>
      </c>
      <c r="C36" t="s">
        <v>120</v>
      </c>
      <c r="D36" t="s">
        <v>121</v>
      </c>
      <c r="E36" t="s">
        <v>122</v>
      </c>
    </row>
    <row r="37" spans="1:5" ht="15" customHeight="1" x14ac:dyDescent="0.3">
      <c r="A37" t="s">
        <v>98</v>
      </c>
      <c r="B37" t="s">
        <v>119</v>
      </c>
      <c r="C37" t="s">
        <v>123</v>
      </c>
      <c r="D37" t="s">
        <v>124</v>
      </c>
      <c r="E37" t="s">
        <v>125</v>
      </c>
    </row>
    <row r="38" spans="1:5" ht="15" customHeight="1" x14ac:dyDescent="0.3">
      <c r="A38" t="s">
        <v>98</v>
      </c>
      <c r="B38" t="s">
        <v>119</v>
      </c>
      <c r="C38" t="s">
        <v>126</v>
      </c>
      <c r="D38" t="s">
        <v>127</v>
      </c>
      <c r="E38" t="s">
        <v>128</v>
      </c>
    </row>
    <row r="39" spans="1:5" ht="15" customHeight="1" x14ac:dyDescent="0.3">
      <c r="A39" t="s">
        <v>129</v>
      </c>
      <c r="B39" t="s">
        <v>130</v>
      </c>
      <c r="C39" t="s">
        <v>131</v>
      </c>
      <c r="D39" t="s">
        <v>132</v>
      </c>
      <c r="E39" t="s">
        <v>133</v>
      </c>
    </row>
    <row r="40" spans="1:5" ht="15" customHeight="1" x14ac:dyDescent="0.3">
      <c r="A40" t="s">
        <v>129</v>
      </c>
      <c r="B40" t="s">
        <v>130</v>
      </c>
      <c r="C40" t="s">
        <v>134</v>
      </c>
      <c r="D40" t="s">
        <v>135</v>
      </c>
      <c r="E40" t="s">
        <v>136</v>
      </c>
    </row>
    <row r="41" spans="1:5" ht="15" customHeight="1" x14ac:dyDescent="0.3">
      <c r="A41" t="s">
        <v>129</v>
      </c>
      <c r="B41" t="s">
        <v>137</v>
      </c>
      <c r="C41" t="s">
        <v>138</v>
      </c>
      <c r="D41" t="s">
        <v>139</v>
      </c>
      <c r="E41" t="s">
        <v>140</v>
      </c>
    </row>
    <row r="42" spans="1:5" ht="15" customHeight="1" x14ac:dyDescent="0.3">
      <c r="A42" t="s">
        <v>129</v>
      </c>
      <c r="B42" t="s">
        <v>137</v>
      </c>
      <c r="C42" t="s">
        <v>141</v>
      </c>
      <c r="D42" t="s">
        <v>142</v>
      </c>
      <c r="E42" t="s">
        <v>143</v>
      </c>
    </row>
    <row r="43" spans="1:5" ht="15" customHeight="1" x14ac:dyDescent="0.3">
      <c r="A43" t="s">
        <v>129</v>
      </c>
      <c r="B43" t="s">
        <v>137</v>
      </c>
      <c r="C43" t="s">
        <v>144</v>
      </c>
      <c r="D43" t="s">
        <v>145</v>
      </c>
      <c r="E43" t="s">
        <v>146</v>
      </c>
    </row>
    <row r="44" spans="1:5" ht="15" customHeight="1" x14ac:dyDescent="0.3">
      <c r="A44" t="s">
        <v>147</v>
      </c>
      <c r="B44" t="s">
        <v>148</v>
      </c>
      <c r="C44" t="s">
        <v>149</v>
      </c>
      <c r="D44" t="s">
        <v>150</v>
      </c>
      <c r="E44" t="s">
        <v>151</v>
      </c>
    </row>
    <row r="45" spans="1:5" ht="15" customHeight="1" x14ac:dyDescent="0.3">
      <c r="A45" t="s">
        <v>147</v>
      </c>
      <c r="B45" t="s">
        <v>148</v>
      </c>
      <c r="C45" t="s">
        <v>152</v>
      </c>
      <c r="D45" t="s">
        <v>153</v>
      </c>
      <c r="E45" t="s">
        <v>154</v>
      </c>
    </row>
    <row r="46" spans="1:5" ht="15" customHeight="1" x14ac:dyDescent="0.3">
      <c r="A46" t="s">
        <v>147</v>
      </c>
      <c r="B46" t="s">
        <v>148</v>
      </c>
      <c r="C46" t="s">
        <v>155</v>
      </c>
      <c r="D46" t="s">
        <v>156</v>
      </c>
      <c r="E46" t="s">
        <v>157</v>
      </c>
    </row>
    <row r="47" spans="1:5" ht="15" customHeight="1" x14ac:dyDescent="0.3">
      <c r="A47" t="s">
        <v>147</v>
      </c>
      <c r="B47" t="s">
        <v>109</v>
      </c>
      <c r="C47" t="s">
        <v>58</v>
      </c>
      <c r="D47" t="s">
        <v>158</v>
      </c>
      <c r="E47" t="s">
        <v>159</v>
      </c>
    </row>
    <row r="48" spans="1:5" ht="15" customHeight="1" x14ac:dyDescent="0.3">
      <c r="A48" t="s">
        <v>147</v>
      </c>
      <c r="B48" t="s">
        <v>109</v>
      </c>
      <c r="C48" t="s">
        <v>160</v>
      </c>
      <c r="D48" t="s">
        <v>161</v>
      </c>
      <c r="E48" t="s">
        <v>162</v>
      </c>
    </row>
    <row r="49" spans="1:5" ht="15" customHeight="1" x14ac:dyDescent="0.3">
      <c r="A49" t="s">
        <v>147</v>
      </c>
      <c r="B49" t="s">
        <v>109</v>
      </c>
      <c r="C49" t="s">
        <v>67</v>
      </c>
      <c r="D49" t="s">
        <v>163</v>
      </c>
      <c r="E49" t="s">
        <v>164</v>
      </c>
    </row>
    <row r="50" spans="1:5" ht="15" customHeight="1" x14ac:dyDescent="0.3">
      <c r="A50" t="s">
        <v>147</v>
      </c>
      <c r="B50" t="s">
        <v>109</v>
      </c>
      <c r="C50" t="s">
        <v>64</v>
      </c>
      <c r="D50" t="s">
        <v>165</v>
      </c>
      <c r="E50" t="s">
        <v>166</v>
      </c>
    </row>
    <row r="51" spans="1:5" ht="15" customHeight="1" x14ac:dyDescent="0.3">
      <c r="A51" t="s">
        <v>147</v>
      </c>
      <c r="B51" t="s">
        <v>167</v>
      </c>
      <c r="C51" t="s">
        <v>168</v>
      </c>
      <c r="D51" t="s">
        <v>169</v>
      </c>
      <c r="E51" t="s">
        <v>170</v>
      </c>
    </row>
    <row r="52" spans="1:5" ht="15" customHeight="1" x14ac:dyDescent="0.3">
      <c r="A52" t="s">
        <v>147</v>
      </c>
      <c r="B52" t="s">
        <v>167</v>
      </c>
      <c r="C52" t="s">
        <v>171</v>
      </c>
      <c r="D52" t="s">
        <v>172</v>
      </c>
      <c r="E52" t="s">
        <v>173</v>
      </c>
    </row>
    <row r="53" spans="1:5" ht="15" customHeight="1" x14ac:dyDescent="0.3">
      <c r="A53" t="s">
        <v>147</v>
      </c>
      <c r="B53" t="s">
        <v>167</v>
      </c>
      <c r="C53" t="s">
        <v>174</v>
      </c>
      <c r="D53" t="s">
        <v>175</v>
      </c>
      <c r="E53" t="s">
        <v>176</v>
      </c>
    </row>
    <row r="54" spans="1:5" ht="15" customHeight="1" x14ac:dyDescent="0.3">
      <c r="A54" t="s">
        <v>177</v>
      </c>
      <c r="B54" t="s">
        <v>178</v>
      </c>
      <c r="C54" t="s">
        <v>179</v>
      </c>
      <c r="D54" t="s">
        <v>180</v>
      </c>
      <c r="E54" t="s">
        <v>181</v>
      </c>
    </row>
    <row r="55" spans="1:5" ht="15" customHeight="1" x14ac:dyDescent="0.3">
      <c r="A55" t="s">
        <v>177</v>
      </c>
      <c r="B55" t="s">
        <v>178</v>
      </c>
      <c r="C55" t="s">
        <v>182</v>
      </c>
      <c r="D55" t="s">
        <v>183</v>
      </c>
      <c r="E55" t="s">
        <v>184</v>
      </c>
    </row>
    <row r="56" spans="1:5" ht="15" customHeight="1" x14ac:dyDescent="0.3">
      <c r="A56" t="s">
        <v>177</v>
      </c>
      <c r="B56" t="s">
        <v>178</v>
      </c>
      <c r="C56" t="s">
        <v>185</v>
      </c>
      <c r="D56" t="s">
        <v>186</v>
      </c>
      <c r="E56" t="s">
        <v>187</v>
      </c>
    </row>
    <row r="57" spans="1:5" ht="15" customHeight="1" x14ac:dyDescent="0.3">
      <c r="A57" t="s">
        <v>177</v>
      </c>
      <c r="B57" t="s">
        <v>178</v>
      </c>
      <c r="C57" t="s">
        <v>188</v>
      </c>
      <c r="D57" t="s">
        <v>189</v>
      </c>
      <c r="E57" t="s">
        <v>190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6B8C"/>
    <pageSetUpPr fitToPage="1"/>
  </sheetPr>
  <dimension ref="A1:G28"/>
  <sheetViews>
    <sheetView showGridLines="0" zoomScaleNormal="100" workbookViewId="0">
      <pane xSplit="1" ySplit="3" topLeftCell="B4" activePane="bottomRight" state="frozen"/>
      <selection pane="topRight" activeCell="B1" sqref="B1"/>
      <selection pane="bottomLeft" activeCell="A4" sqref="A4"/>
      <selection pane="bottomRight" activeCell="H25" sqref="H25"/>
    </sheetView>
  </sheetViews>
  <sheetFormatPr defaultColWidth="8.6640625" defaultRowHeight="31.8" customHeight="1" x14ac:dyDescent="0.3"/>
  <cols>
    <col min="1" max="1" width="3" customWidth="1"/>
    <col min="2" max="2" width="26" customWidth="1"/>
    <col min="3" max="3" width="22" customWidth="1"/>
    <col min="4" max="4" width="55" customWidth="1"/>
    <col min="5" max="7" width="18" customWidth="1"/>
  </cols>
  <sheetData>
    <row r="1" spans="1:7" ht="31.8" customHeight="1" x14ac:dyDescent="0.3">
      <c r="A1" s="99" t="s">
        <v>191</v>
      </c>
      <c r="B1" s="100"/>
      <c r="C1" s="100"/>
      <c r="D1" s="100"/>
      <c r="E1" s="100"/>
      <c r="F1" s="100"/>
      <c r="G1" s="101"/>
    </row>
    <row r="2" spans="1:7" ht="31.8" customHeight="1" x14ac:dyDescent="0.3">
      <c r="A2" s="102" t="s">
        <v>192</v>
      </c>
      <c r="B2" s="103"/>
      <c r="C2" s="103"/>
      <c r="D2" s="103"/>
      <c r="E2" s="103"/>
      <c r="F2" s="103"/>
      <c r="G2" s="104"/>
    </row>
    <row r="3" spans="1:7" ht="21" customHeight="1" x14ac:dyDescent="0.3">
      <c r="A3" s="42"/>
      <c r="B3" s="1"/>
      <c r="C3" s="1"/>
      <c r="D3" s="1"/>
      <c r="E3" s="1"/>
      <c r="F3" s="1"/>
      <c r="G3" s="43"/>
    </row>
    <row r="4" spans="1:7" ht="14.4" x14ac:dyDescent="0.3">
      <c r="A4" s="105" t="s">
        <v>193</v>
      </c>
      <c r="B4" s="106"/>
      <c r="C4" s="106"/>
      <c r="D4" s="106"/>
      <c r="E4" s="106"/>
      <c r="F4" s="106"/>
      <c r="G4" s="107"/>
    </row>
    <row r="5" spans="1:7" ht="29.4" customHeight="1" x14ac:dyDescent="0.3">
      <c r="A5" s="108" t="s">
        <v>194</v>
      </c>
      <c r="B5" s="109"/>
      <c r="C5" s="109"/>
      <c r="D5" s="109"/>
      <c r="E5" s="109"/>
      <c r="F5" s="109"/>
      <c r="G5" s="110"/>
    </row>
    <row r="6" spans="1:7" ht="22.8" customHeight="1" x14ac:dyDescent="0.3">
      <c r="A6" s="42"/>
      <c r="B6" s="1"/>
      <c r="C6" s="1"/>
      <c r="D6" s="1"/>
      <c r="E6" s="1"/>
      <c r="F6" s="1"/>
      <c r="G6" s="43"/>
    </row>
    <row r="7" spans="1:7" ht="31.8" customHeight="1" x14ac:dyDescent="0.3">
      <c r="A7" s="111" t="s">
        <v>195</v>
      </c>
      <c r="B7" s="112"/>
      <c r="C7" s="112"/>
      <c r="D7" s="112"/>
      <c r="E7" s="112"/>
      <c r="F7" s="112"/>
      <c r="G7" s="113"/>
    </row>
    <row r="8" spans="1:7" ht="31.8" customHeight="1" x14ac:dyDescent="0.3">
      <c r="A8" s="75"/>
      <c r="B8" s="3" t="s">
        <v>196</v>
      </c>
      <c r="C8" s="4" t="s">
        <v>197</v>
      </c>
      <c r="D8" s="3" t="s">
        <v>198</v>
      </c>
      <c r="E8" s="5" t="s">
        <v>4</v>
      </c>
      <c r="F8" s="3" t="s">
        <v>199</v>
      </c>
      <c r="G8" s="76" t="s">
        <v>200</v>
      </c>
    </row>
    <row r="9" spans="1:7" ht="57" x14ac:dyDescent="0.3">
      <c r="A9" s="46"/>
      <c r="B9" s="7" t="s">
        <v>6</v>
      </c>
      <c r="C9" s="8" t="s">
        <v>7</v>
      </c>
      <c r="D9" s="9" t="str">
        <f>IFERROR(INDEX(__DATA__!$D$2:$D$4,MATCH(C9,__DATA__!$C$2:$C$4,0)),"Select an option from the dropdown above")</f>
        <v>BAKED: Preheat oven to 400F. Place salmon on a lightly oiled baking sheet, skin side down. Season with sea salt and black pepper. Bake 12-15 minutes until the fish flakes easily with a fork at the thickest part. Do not overcook - salmon continues cooking from residual heat after removal. Rest 2 minutes before plating.</v>
      </c>
      <c r="E9" s="10" t="str">
        <f>IFERROR(INDEX(__DATA__!$E$2:$E$4,MATCH(C9,__DATA__!$C$2:$C$4,0)),"")</f>
        <v>Most hands-off method - great for multitasking with rice and asparagus.</v>
      </c>
      <c r="F9" s="11" t="s">
        <v>10</v>
      </c>
      <c r="G9" s="77" t="s">
        <v>13</v>
      </c>
    </row>
    <row r="10" spans="1:7" ht="45.6" x14ac:dyDescent="0.3">
      <c r="A10" s="42"/>
      <c r="B10" s="12" t="s">
        <v>16</v>
      </c>
      <c r="C10" s="8" t="s">
        <v>17</v>
      </c>
      <c r="D10" s="9" t="str">
        <f>IFERROR(INDEX(__DATA__!$D$5:$D$7,MATCH(C10,__DATA__!$C$5:$C$7,0)),"Select an option from the dropdown above")</f>
        <v>STEAMED: Snap woody ends off asparagus where they naturally break. Steam over 1 inch of boiling purified water for 5-7 minutes until just tender with a slight bite. Do not overcook. Season lightly with sea salt and a squeeze of lemon.</v>
      </c>
      <c r="E10" s="10" t="str">
        <f>IFERROR(INDEX(__DATA__!$E$5:$E$7,MATCH(C10,__DATA__!$C$5:$C$7,0)),"")</f>
        <v>Best nutrient preservation. Best match for the Baked salmon method.</v>
      </c>
      <c r="F10" s="11" t="s">
        <v>20</v>
      </c>
      <c r="G10" s="77" t="s">
        <v>10</v>
      </c>
    </row>
    <row r="11" spans="1:7" ht="31.8" customHeight="1" x14ac:dyDescent="0.3">
      <c r="A11" s="42"/>
      <c r="B11" s="1"/>
      <c r="C11" s="1"/>
      <c r="D11" s="1"/>
      <c r="E11" s="1"/>
      <c r="F11" s="1"/>
      <c r="G11" s="43"/>
    </row>
    <row r="12" spans="1:7" ht="31.8" customHeight="1" x14ac:dyDescent="0.3">
      <c r="A12" s="93" t="s">
        <v>201</v>
      </c>
      <c r="B12" s="94"/>
      <c r="C12" s="94"/>
      <c r="D12" s="94"/>
      <c r="E12" s="94"/>
      <c r="F12" s="94"/>
      <c r="G12" s="95"/>
    </row>
    <row r="13" spans="1:7" ht="31.8" customHeight="1" x14ac:dyDescent="0.3">
      <c r="A13" s="96" t="s">
        <v>202</v>
      </c>
      <c r="B13" s="97"/>
      <c r="C13" s="97"/>
      <c r="D13" s="97"/>
      <c r="E13" s="97"/>
      <c r="F13" s="97"/>
      <c r="G13" s="98"/>
    </row>
    <row r="14" spans="1:7" ht="31.8" customHeight="1" x14ac:dyDescent="0.3">
      <c r="A14" s="90" t="s">
        <v>203</v>
      </c>
      <c r="B14" s="91"/>
      <c r="C14" s="91"/>
      <c r="D14" s="91"/>
      <c r="E14" s="91"/>
      <c r="F14" s="91"/>
      <c r="G14" s="92"/>
    </row>
    <row r="15" spans="1:7" ht="31.8" customHeight="1" x14ac:dyDescent="0.3">
      <c r="A15" s="87" t="s">
        <v>204</v>
      </c>
      <c r="B15" s="88"/>
      <c r="C15" s="88"/>
      <c r="D15" s="88"/>
      <c r="E15" s="88"/>
      <c r="F15" s="88"/>
      <c r="G15" s="89"/>
    </row>
    <row r="16" spans="1:7" ht="31.8" customHeight="1" x14ac:dyDescent="0.3">
      <c r="A16" s="90" t="s">
        <v>205</v>
      </c>
      <c r="B16" s="91"/>
      <c r="C16" s="91"/>
      <c r="D16" s="91"/>
      <c r="E16" s="91"/>
      <c r="F16" s="91"/>
      <c r="G16" s="92"/>
    </row>
    <row r="17" spans="1:7" ht="31.8" customHeight="1" x14ac:dyDescent="0.3">
      <c r="A17" s="87" t="s">
        <v>206</v>
      </c>
      <c r="B17" s="88"/>
      <c r="C17" s="88"/>
      <c r="D17" s="88"/>
      <c r="E17" s="88"/>
      <c r="F17" s="88"/>
      <c r="G17" s="89"/>
    </row>
    <row r="18" spans="1:7" ht="31.8" customHeight="1" x14ac:dyDescent="0.3">
      <c r="A18" s="90" t="s">
        <v>207</v>
      </c>
      <c r="B18" s="91"/>
      <c r="C18" s="91"/>
      <c r="D18" s="91"/>
      <c r="E18" s="91"/>
      <c r="F18" s="91"/>
      <c r="G18" s="92"/>
    </row>
    <row r="19" spans="1:7" ht="31.8" customHeight="1" x14ac:dyDescent="0.3">
      <c r="A19" s="87" t="s">
        <v>208</v>
      </c>
      <c r="B19" s="88"/>
      <c r="C19" s="88"/>
      <c r="D19" s="88"/>
      <c r="E19" s="88"/>
      <c r="F19" s="88"/>
      <c r="G19" s="89"/>
    </row>
    <row r="20" spans="1:7" ht="31.8" customHeight="1" x14ac:dyDescent="0.3">
      <c r="A20" s="90" t="s">
        <v>209</v>
      </c>
      <c r="B20" s="91"/>
      <c r="C20" s="91"/>
      <c r="D20" s="91"/>
      <c r="E20" s="91"/>
      <c r="F20" s="91"/>
      <c r="G20" s="92"/>
    </row>
    <row r="21" spans="1:7" ht="31.8" customHeight="1" x14ac:dyDescent="0.3">
      <c r="A21" s="87" t="s">
        <v>210</v>
      </c>
      <c r="B21" s="88"/>
      <c r="C21" s="88"/>
      <c r="D21" s="88"/>
      <c r="E21" s="88"/>
      <c r="F21" s="88"/>
      <c r="G21" s="89"/>
    </row>
    <row r="22" spans="1:7" ht="31.8" customHeight="1" x14ac:dyDescent="0.3">
      <c r="A22" s="42"/>
      <c r="B22" s="1"/>
      <c r="C22" s="1"/>
      <c r="D22" s="1"/>
      <c r="E22" s="1"/>
      <c r="F22" s="1"/>
      <c r="G22" s="43"/>
    </row>
    <row r="23" spans="1:7" ht="31.8" customHeight="1" x14ac:dyDescent="0.3">
      <c r="A23" s="78" t="s">
        <v>211</v>
      </c>
      <c r="B23" s="79"/>
      <c r="C23" s="79"/>
      <c r="D23" s="79"/>
      <c r="E23" s="79"/>
      <c r="F23" s="79"/>
      <c r="G23" s="80"/>
    </row>
    <row r="24" spans="1:7" ht="31.8" customHeight="1" x14ac:dyDescent="0.3">
      <c r="A24" s="81" t="s">
        <v>212</v>
      </c>
      <c r="B24" s="82"/>
      <c r="C24" s="82"/>
      <c r="D24" s="82"/>
      <c r="E24" s="82"/>
      <c r="F24" s="82"/>
      <c r="G24" s="83"/>
    </row>
    <row r="25" spans="1:7" ht="31.8" customHeight="1" x14ac:dyDescent="0.3">
      <c r="A25" s="81" t="s">
        <v>213</v>
      </c>
      <c r="B25" s="82"/>
      <c r="C25" s="82"/>
      <c r="D25" s="82"/>
      <c r="E25" s="82"/>
      <c r="F25" s="82"/>
      <c r="G25" s="83"/>
    </row>
    <row r="26" spans="1:7" ht="31.8" customHeight="1" x14ac:dyDescent="0.3">
      <c r="A26" s="81" t="s">
        <v>214</v>
      </c>
      <c r="B26" s="82"/>
      <c r="C26" s="82"/>
      <c r="D26" s="82"/>
      <c r="E26" s="82"/>
      <c r="F26" s="82"/>
      <c r="G26" s="83"/>
    </row>
    <row r="27" spans="1:7" ht="31.8" customHeight="1" x14ac:dyDescent="0.3">
      <c r="A27" s="84" t="s">
        <v>215</v>
      </c>
      <c r="B27" s="85"/>
      <c r="C27" s="85"/>
      <c r="D27" s="85"/>
      <c r="E27" s="85"/>
      <c r="F27" s="85"/>
      <c r="G27" s="86"/>
    </row>
    <row r="28" spans="1:7" ht="31.8" customHeight="1" x14ac:dyDescent="0.3">
      <c r="A28" s="1"/>
      <c r="B28" s="1"/>
      <c r="C28" s="1"/>
      <c r="D28" s="1"/>
      <c r="E28" s="1"/>
      <c r="F28" s="1"/>
      <c r="G28" s="1"/>
    </row>
  </sheetData>
  <mergeCells count="20">
    <mergeCell ref="A1:G1"/>
    <mergeCell ref="A2:G2"/>
    <mergeCell ref="A4:G4"/>
    <mergeCell ref="A5:G5"/>
    <mergeCell ref="A7:G7"/>
    <mergeCell ref="A12:G12"/>
    <mergeCell ref="A13:G13"/>
    <mergeCell ref="A14:G14"/>
    <mergeCell ref="A15:G15"/>
    <mergeCell ref="A16:G16"/>
    <mergeCell ref="A17:G17"/>
    <mergeCell ref="A18:G18"/>
    <mergeCell ref="A19:G19"/>
    <mergeCell ref="A20:G20"/>
    <mergeCell ref="A21:G21"/>
    <mergeCell ref="A23:G23"/>
    <mergeCell ref="A24:G24"/>
    <mergeCell ref="A25:G25"/>
    <mergeCell ref="A26:G26"/>
    <mergeCell ref="A27:G27"/>
  </mergeCells>
  <dataValidations count="2">
    <dataValidation type="list" allowBlank="1" sqref="C9" xr:uid="{00000000-0002-0000-0100-000000000000}">
      <formula1>"Baked,Grilled,Sous Vide"</formula1>
      <formula2>0</formula2>
    </dataValidation>
    <dataValidation type="list" allowBlank="1" sqref="C10" xr:uid="{00000000-0002-0000-0100-000001000000}">
      <formula1>"Steamed,Roasted,Grilled"</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4824A"/>
    <pageSetUpPr fitToPage="1"/>
  </sheetPr>
  <dimension ref="A1:G26"/>
  <sheetViews>
    <sheetView showGridLines="0" zoomScaleNormal="100" workbookViewId="0">
      <pane xSplit="1" ySplit="3" topLeftCell="B4" activePane="bottomRight" state="frozen"/>
      <selection pane="topRight" activeCell="B1" sqref="B1"/>
      <selection pane="bottomLeft" activeCell="A4" sqref="A4"/>
      <selection pane="bottomRight" sqref="A1:G1"/>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216</v>
      </c>
      <c r="B1" s="114"/>
      <c r="C1" s="114"/>
      <c r="D1" s="114"/>
      <c r="E1" s="114"/>
      <c r="F1" s="114"/>
      <c r="G1" s="114"/>
    </row>
    <row r="2" spans="1:7" ht="1.5" customHeight="1" x14ac:dyDescent="0.3">
      <c r="A2" s="103" t="s">
        <v>217</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218</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26</v>
      </c>
      <c r="C9" s="8" t="s">
        <v>27</v>
      </c>
      <c r="D9" s="9" t="str">
        <f>IFERROR(INDEX(__DATA__!$D$8:$D$9,MATCH(C9,__DATA__!$C$8:$C$9,0)),"Select an option from the dropdown above")</f>
        <v>Cut a fresh lime in half. Squeeze the juice of one half into a full glass of purified water (about 8 oz). Stir and drink within 5 minutes of your probiotic water. The sour taste is intentional and beneficial - do not add anything to sweeten it.</v>
      </c>
      <c r="E9" s="10" t="str">
        <f>IFERROR(INDEX(__DATA__!$E$8:$E$9,MATCH(C9,__DATA__!$C$8:$C$9,0)),"")</f>
        <v>Lime is slightly less tart than lemon. Same detox benefit.</v>
      </c>
      <c r="F9" s="11" t="s">
        <v>30</v>
      </c>
      <c r="G9" s="13"/>
    </row>
    <row r="10" spans="1:7" ht="7.5" customHeight="1" x14ac:dyDescent="0.3">
      <c r="A10" s="1"/>
      <c r="B10" s="1"/>
      <c r="C10" s="1"/>
      <c r="D10" s="1"/>
      <c r="E10" s="1"/>
      <c r="F10" s="1"/>
      <c r="G10" s="1"/>
    </row>
    <row r="11" spans="1:7" ht="10.5" customHeight="1" x14ac:dyDescent="0.3">
      <c r="A11" s="94" t="s">
        <v>201</v>
      </c>
      <c r="B11" s="94"/>
      <c r="C11" s="94"/>
      <c r="D11" s="94"/>
      <c r="E11" s="94"/>
      <c r="F11" s="94"/>
      <c r="G11" s="94"/>
    </row>
    <row r="12" spans="1:7" ht="12" customHeight="1" x14ac:dyDescent="0.3">
      <c r="A12" s="97" t="s">
        <v>202</v>
      </c>
      <c r="B12" s="97"/>
      <c r="C12" s="97"/>
      <c r="D12" s="97"/>
      <c r="E12" s="97"/>
      <c r="F12" s="97"/>
      <c r="G12" s="97"/>
    </row>
    <row r="13" spans="1:7" ht="12.75" customHeight="1" x14ac:dyDescent="0.3">
      <c r="A13" s="91" t="s">
        <v>219</v>
      </c>
      <c r="B13" s="91"/>
      <c r="C13" s="91"/>
      <c r="D13" s="91"/>
      <c r="E13" s="91"/>
      <c r="F13" s="91"/>
      <c r="G13" s="91"/>
    </row>
    <row r="14" spans="1:7" ht="13.5" customHeight="1" x14ac:dyDescent="0.3">
      <c r="A14" s="88" t="s">
        <v>220</v>
      </c>
      <c r="B14" s="88"/>
      <c r="C14" s="88"/>
      <c r="D14" s="88"/>
      <c r="E14" s="88"/>
      <c r="F14" s="88"/>
      <c r="G14" s="88"/>
    </row>
    <row r="15" spans="1:7" ht="15" customHeight="1" x14ac:dyDescent="0.3">
      <c r="A15" s="91" t="s">
        <v>221</v>
      </c>
      <c r="B15" s="91"/>
      <c r="C15" s="91"/>
      <c r="D15" s="91"/>
      <c r="E15" s="91"/>
      <c r="F15" s="91"/>
      <c r="G15" s="91"/>
    </row>
    <row r="16" spans="1:7" ht="15.75" customHeight="1" x14ac:dyDescent="0.3">
      <c r="A16" s="88" t="s">
        <v>222</v>
      </c>
      <c r="B16" s="88"/>
      <c r="C16" s="88"/>
      <c r="D16" s="88"/>
      <c r="E16" s="88"/>
      <c r="F16" s="88"/>
      <c r="G16" s="88"/>
    </row>
    <row r="17" spans="1:7" ht="16.5" customHeight="1" x14ac:dyDescent="0.3">
      <c r="A17" s="91" t="s">
        <v>223</v>
      </c>
      <c r="B17" s="91"/>
      <c r="C17" s="91"/>
      <c r="D17" s="91"/>
      <c r="E17" s="91"/>
      <c r="F17" s="91"/>
      <c r="G17" s="91"/>
    </row>
    <row r="18" spans="1:7" ht="18" customHeight="1" x14ac:dyDescent="0.3">
      <c r="A18" s="88" t="s">
        <v>224</v>
      </c>
      <c r="B18" s="88"/>
      <c r="C18" s="88"/>
      <c r="D18" s="88"/>
      <c r="E18" s="88"/>
      <c r="F18" s="88"/>
      <c r="G18" s="88"/>
    </row>
    <row r="19" spans="1:7" ht="18.75" customHeight="1" x14ac:dyDescent="0.3">
      <c r="A19" s="91" t="s">
        <v>225</v>
      </c>
      <c r="B19" s="91"/>
      <c r="C19" s="91"/>
      <c r="D19" s="91"/>
      <c r="E19" s="91"/>
      <c r="F19" s="91"/>
      <c r="G19" s="91"/>
    </row>
    <row r="20" spans="1:7" ht="19.5" customHeight="1" x14ac:dyDescent="0.3">
      <c r="A20" s="88" t="s">
        <v>226</v>
      </c>
      <c r="B20" s="88"/>
      <c r="C20" s="88"/>
      <c r="D20" s="88"/>
      <c r="E20" s="88"/>
      <c r="F20" s="88"/>
      <c r="G20" s="88"/>
    </row>
    <row r="21" spans="1:7" ht="7.5" customHeight="1" x14ac:dyDescent="0.3">
      <c r="A21" s="1"/>
      <c r="B21" s="1"/>
      <c r="C21" s="1"/>
      <c r="D21" s="1"/>
      <c r="E21" s="1"/>
      <c r="F21" s="1"/>
      <c r="G21" s="1"/>
    </row>
    <row r="22" spans="1:7" ht="21.75" customHeight="1" x14ac:dyDescent="0.3">
      <c r="A22" s="79" t="s">
        <v>211</v>
      </c>
      <c r="B22" s="79"/>
      <c r="C22" s="79"/>
      <c r="D22" s="79"/>
      <c r="E22" s="79"/>
      <c r="F22" s="79"/>
      <c r="G22" s="79"/>
    </row>
    <row r="23" spans="1:7" ht="22.5" customHeight="1" x14ac:dyDescent="0.3">
      <c r="A23" s="82" t="s">
        <v>227</v>
      </c>
      <c r="B23" s="82"/>
      <c r="C23" s="82"/>
      <c r="D23" s="82"/>
      <c r="E23" s="82"/>
      <c r="F23" s="82"/>
      <c r="G23" s="82"/>
    </row>
    <row r="24" spans="1:7" ht="24" customHeight="1" x14ac:dyDescent="0.3">
      <c r="A24" s="82" t="s">
        <v>228</v>
      </c>
      <c r="B24" s="82"/>
      <c r="C24" s="82"/>
      <c r="D24" s="82"/>
      <c r="E24" s="82"/>
      <c r="F24" s="82"/>
      <c r="G24" s="82"/>
    </row>
    <row r="25" spans="1:7" ht="24.75" customHeight="1" x14ac:dyDescent="0.3">
      <c r="A25" s="82" t="s">
        <v>229</v>
      </c>
      <c r="B25" s="82"/>
      <c r="C25" s="82"/>
      <c r="D25" s="82"/>
      <c r="E25" s="82"/>
      <c r="F25" s="82"/>
      <c r="G25" s="82"/>
    </row>
    <row r="26" spans="1:7" ht="6" customHeight="1" x14ac:dyDescent="0.3">
      <c r="A26" s="1"/>
      <c r="B26" s="1"/>
      <c r="C26" s="1"/>
      <c r="D26" s="1"/>
      <c r="E26" s="1"/>
      <c r="F26" s="1"/>
      <c r="G26" s="1"/>
    </row>
  </sheetData>
  <mergeCells count="19">
    <mergeCell ref="A1:G1"/>
    <mergeCell ref="A2:G2"/>
    <mergeCell ref="A4:G4"/>
    <mergeCell ref="A5:G5"/>
    <mergeCell ref="A7:G7"/>
    <mergeCell ref="A11:G11"/>
    <mergeCell ref="A12:G12"/>
    <mergeCell ref="A13:G13"/>
    <mergeCell ref="A14:G14"/>
    <mergeCell ref="A15:G15"/>
    <mergeCell ref="A22:G22"/>
    <mergeCell ref="A23:G23"/>
    <mergeCell ref="A24:G24"/>
    <mergeCell ref="A25:G25"/>
    <mergeCell ref="A16:G16"/>
    <mergeCell ref="A17:G17"/>
    <mergeCell ref="A18:G18"/>
    <mergeCell ref="A19:G19"/>
    <mergeCell ref="A20:G20"/>
  </mergeCells>
  <dataValidations count="1">
    <dataValidation type="list" allowBlank="1" sqref="C9" xr:uid="{00000000-0002-0000-0200-000000000000}">
      <formula1>"Fresh Lime (half),Fresh Lemon (half)"</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D6A4F"/>
    <pageSetUpPr fitToPage="1"/>
  </sheetPr>
  <dimension ref="A1:G27"/>
  <sheetViews>
    <sheetView showGridLines="0" zoomScaleNormal="100" workbookViewId="0">
      <pane xSplit="1" ySplit="3" topLeftCell="B4" activePane="bottomRight" state="frozen"/>
      <selection pane="topRight" activeCell="B1" sqref="B1"/>
      <selection pane="bottomLeft" activeCell="A4" sqref="A4"/>
      <selection pane="bottomRight" sqref="A1:G1"/>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230</v>
      </c>
      <c r="B1" s="114"/>
      <c r="C1" s="114"/>
      <c r="D1" s="114"/>
      <c r="E1" s="114"/>
      <c r="F1" s="114"/>
      <c r="G1" s="114"/>
    </row>
    <row r="2" spans="1:7" ht="1.5" customHeight="1" x14ac:dyDescent="0.3">
      <c r="A2" s="103" t="s">
        <v>231</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232</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34</v>
      </c>
      <c r="C9" s="8" t="s">
        <v>35</v>
      </c>
      <c r="D9" s="9" t="str">
        <f>IFERROR(INDEX(__DATA__!$D$10:$D$12,MATCH(C9,__DATA__!$C$10:$C$12,0)),"Select an option from the dropdown above")</f>
        <v>BERRY PRUNE SMOOTHIE BOWL: Add to blender: 1 cup frozen berries (raspberries, strawberries, or blueberries), 4-5 soaked prunes plus ALL soaking liquid, 1 chopped seasonal fruit (mango, papaya, peach, or pear), and 1/4 cup purified water. Blend on high 30-45 seconds until completely smooth. Should be thick enough to eat with a spoon. Pour into a wide bowl and eat slowly.</v>
      </c>
      <c r="E9" s="10" t="str">
        <f>IFERROR(INDEX(__DATA__!$E$10:$E$12,MATCH(C9,__DATA__!$C$10:$C$12,0)),"")</f>
        <v>Most filling option. Best for days when you need sustained energy. NO BANANAS - they are constipating.</v>
      </c>
      <c r="F9" s="11" t="s">
        <v>38</v>
      </c>
      <c r="G9" s="11" t="s">
        <v>41</v>
      </c>
    </row>
    <row r="10" spans="1:7" ht="79.5" customHeight="1" x14ac:dyDescent="0.3">
      <c r="A10" s="1"/>
      <c r="B10" s="12" t="s">
        <v>44</v>
      </c>
      <c r="C10" s="8" t="s">
        <v>45</v>
      </c>
      <c r="D10" s="9" t="str">
        <f>IFERROR(INDEX(__DATA__!$D$13:$D$16,MATCH(C10,__DATA__!$C$13:$C$16,0)),"Select an option from the dropdown above")</f>
        <v>Use 1 cup frozen raspberries. Deepest red color, most intensely flavored. Highest fiber of the berry options.</v>
      </c>
      <c r="E10" s="10" t="str">
        <f>IFERROR(INDEX(__DATA__!$E$13:$E$16,MATCH(C10,__DATA__!$C$13:$C$16,0)),"")</f>
        <v>Best for days 4-7 when palate has adjusted to less sweet flavors.</v>
      </c>
      <c r="F10" s="11" t="s">
        <v>48</v>
      </c>
      <c r="G10" s="11" t="s">
        <v>51</v>
      </c>
    </row>
    <row r="11" spans="1:7" ht="79.5" customHeight="1" x14ac:dyDescent="0.3">
      <c r="A11" s="6"/>
      <c r="B11" s="7" t="s">
        <v>57</v>
      </c>
      <c r="C11" s="8" t="s">
        <v>58</v>
      </c>
      <c r="D11" s="9" t="str">
        <f>IFERROR(INDEX(__DATA__!$D$17:$D$20,MATCH(C11,__DATA__!$C$17:$C$20,0)),"Select an option from the dropdown above")</f>
        <v>Remove kale stems completely - fold each leaf in half and pull the stem away. Use leaves only. Wash thoroughly. Most potent detox green.</v>
      </c>
      <c r="E11" s="10" t="str">
        <f>IFERROR(INDEX(__DATA__!$E$17:$E$20,MATCH(C11,__DATA__!$C$17:$C$20,0)),"")</f>
        <v>Most potent. Requires complete stem removal for smooth blending.</v>
      </c>
      <c r="F11" s="11" t="s">
        <v>61</v>
      </c>
      <c r="G11" s="11" t="s">
        <v>64</v>
      </c>
    </row>
    <row r="12" spans="1:7" ht="7.5" customHeight="1" x14ac:dyDescent="0.3">
      <c r="A12" s="1"/>
      <c r="B12" s="1"/>
      <c r="C12" s="1"/>
      <c r="D12" s="1"/>
      <c r="E12" s="1"/>
      <c r="F12" s="1"/>
      <c r="G12" s="1"/>
    </row>
    <row r="13" spans="1:7" ht="12.75" customHeight="1" x14ac:dyDescent="0.3">
      <c r="A13" s="94" t="s">
        <v>201</v>
      </c>
      <c r="B13" s="94"/>
      <c r="C13" s="94"/>
      <c r="D13" s="94"/>
      <c r="E13" s="94"/>
      <c r="F13" s="94"/>
      <c r="G13" s="94"/>
    </row>
    <row r="14" spans="1:7" ht="13.5" customHeight="1" x14ac:dyDescent="0.3">
      <c r="A14" s="97" t="s">
        <v>202</v>
      </c>
      <c r="B14" s="97"/>
      <c r="C14" s="97"/>
      <c r="D14" s="97"/>
      <c r="E14" s="97"/>
      <c r="F14" s="97"/>
      <c r="G14" s="97"/>
    </row>
    <row r="15" spans="1:7" ht="15" customHeight="1" x14ac:dyDescent="0.3">
      <c r="A15" s="91" t="s">
        <v>233</v>
      </c>
      <c r="B15" s="91"/>
      <c r="C15" s="91"/>
      <c r="D15" s="91"/>
      <c r="E15" s="91"/>
      <c r="F15" s="91"/>
      <c r="G15" s="91"/>
    </row>
    <row r="16" spans="1:7" ht="15.75" customHeight="1" x14ac:dyDescent="0.3">
      <c r="A16" s="88" t="s">
        <v>234</v>
      </c>
      <c r="B16" s="88"/>
      <c r="C16" s="88"/>
      <c r="D16" s="88"/>
      <c r="E16" s="88"/>
      <c r="F16" s="88"/>
      <c r="G16" s="88"/>
    </row>
    <row r="17" spans="1:7" ht="16.5" customHeight="1" x14ac:dyDescent="0.3">
      <c r="A17" s="91" t="s">
        <v>235</v>
      </c>
      <c r="B17" s="91"/>
      <c r="C17" s="91"/>
      <c r="D17" s="91"/>
      <c r="E17" s="91"/>
      <c r="F17" s="91"/>
      <c r="G17" s="91"/>
    </row>
    <row r="18" spans="1:7" ht="18" customHeight="1" x14ac:dyDescent="0.3">
      <c r="A18" s="88" t="s">
        <v>236</v>
      </c>
      <c r="B18" s="88"/>
      <c r="C18" s="88"/>
      <c r="D18" s="88"/>
      <c r="E18" s="88"/>
      <c r="F18" s="88"/>
      <c r="G18" s="88"/>
    </row>
    <row r="19" spans="1:7" ht="18.75" customHeight="1" x14ac:dyDescent="0.3">
      <c r="A19" s="91" t="s">
        <v>237</v>
      </c>
      <c r="B19" s="91"/>
      <c r="C19" s="91"/>
      <c r="D19" s="91"/>
      <c r="E19" s="91"/>
      <c r="F19" s="91"/>
      <c r="G19" s="91"/>
    </row>
    <row r="20" spans="1:7" ht="19.5" customHeight="1" x14ac:dyDescent="0.3">
      <c r="A20" s="88" t="s">
        <v>238</v>
      </c>
      <c r="B20" s="88"/>
      <c r="C20" s="88"/>
      <c r="D20" s="88"/>
      <c r="E20" s="88"/>
      <c r="F20" s="88"/>
      <c r="G20" s="88"/>
    </row>
    <row r="21" spans="1:7" ht="7.5" customHeight="1" x14ac:dyDescent="0.3">
      <c r="A21" s="1"/>
      <c r="B21" s="1"/>
      <c r="C21" s="1"/>
      <c r="D21" s="1"/>
      <c r="E21" s="1"/>
      <c r="F21" s="1"/>
      <c r="G21" s="1"/>
    </row>
    <row r="22" spans="1:7" ht="21.75" customHeight="1" x14ac:dyDescent="0.3">
      <c r="A22" s="79" t="s">
        <v>211</v>
      </c>
      <c r="B22" s="79"/>
      <c r="C22" s="79"/>
      <c r="D22" s="79"/>
      <c r="E22" s="79"/>
      <c r="F22" s="79"/>
      <c r="G22" s="79"/>
    </row>
    <row r="23" spans="1:7" ht="22.5" customHeight="1" x14ac:dyDescent="0.3">
      <c r="A23" s="82" t="s">
        <v>239</v>
      </c>
      <c r="B23" s="82"/>
      <c r="C23" s="82"/>
      <c r="D23" s="82"/>
      <c r="E23" s="82"/>
      <c r="F23" s="82"/>
      <c r="G23" s="82"/>
    </row>
    <row r="24" spans="1:7" ht="24" customHeight="1" x14ac:dyDescent="0.3">
      <c r="A24" s="82" t="s">
        <v>240</v>
      </c>
      <c r="B24" s="82"/>
      <c r="C24" s="82"/>
      <c r="D24" s="82"/>
      <c r="E24" s="82"/>
      <c r="F24" s="82"/>
      <c r="G24" s="82"/>
    </row>
    <row r="25" spans="1:7" ht="24.75" customHeight="1" x14ac:dyDescent="0.3">
      <c r="A25" s="82" t="s">
        <v>241</v>
      </c>
      <c r="B25" s="82"/>
      <c r="C25" s="82"/>
      <c r="D25" s="82"/>
      <c r="E25" s="82"/>
      <c r="F25" s="82"/>
      <c r="G25" s="82"/>
    </row>
    <row r="26" spans="1:7" ht="25.5" customHeight="1" x14ac:dyDescent="0.3">
      <c r="A26" s="82" t="s">
        <v>242</v>
      </c>
      <c r="B26" s="82"/>
      <c r="C26" s="82"/>
      <c r="D26" s="82"/>
      <c r="E26" s="82"/>
      <c r="F26" s="82"/>
      <c r="G26" s="82"/>
    </row>
    <row r="27" spans="1:7" ht="6" customHeight="1" x14ac:dyDescent="0.3">
      <c r="A27" s="1"/>
      <c r="B27" s="1"/>
      <c r="C27" s="1"/>
      <c r="D27" s="1"/>
      <c r="E27" s="1"/>
      <c r="F27" s="1"/>
      <c r="G27" s="1"/>
    </row>
  </sheetData>
  <mergeCells count="18">
    <mergeCell ref="A1:G1"/>
    <mergeCell ref="A2:G2"/>
    <mergeCell ref="A4:G4"/>
    <mergeCell ref="A5:G5"/>
    <mergeCell ref="A7:G7"/>
    <mergeCell ref="A13:G13"/>
    <mergeCell ref="A14:G14"/>
    <mergeCell ref="A15:G15"/>
    <mergeCell ref="A16:G16"/>
    <mergeCell ref="A17:G17"/>
    <mergeCell ref="A24:G24"/>
    <mergeCell ref="A25:G25"/>
    <mergeCell ref="A26:G26"/>
    <mergeCell ref="A18:G18"/>
    <mergeCell ref="A19:G19"/>
    <mergeCell ref="A20:G20"/>
    <mergeCell ref="A22:G22"/>
    <mergeCell ref="A23:G23"/>
  </mergeCells>
  <dataValidations count="3">
    <dataValidation type="list" allowBlank="1" sqref="C9" xr:uid="{00000000-0002-0000-0300-000000000000}">
      <formula1>"Berry Prune Smoothie Bowl,Tropical Fruit Salad with Prune Sauce,Green Citrus Smoothie"</formula1>
      <formula2>0</formula2>
    </dataValidation>
    <dataValidation type="list" allowBlank="1" sqref="C10" xr:uid="{00000000-0002-0000-0300-000001000000}">
      <formula1>"Frozen Raspberries,Frozen Strawberries,Frozen Blueberries,Fresh Berries in Season"</formula1>
      <formula2>0</formula2>
    </dataValidation>
    <dataValidation type="list" allowBlank="1" sqref="C11" xr:uid="{00000000-0002-0000-0300-000002000000}">
      <formula1>"Kale,Spinach,Beet Greens,Chard"</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4332"/>
    <pageSetUpPr fitToPage="1"/>
  </sheetPr>
  <dimension ref="A1:G27"/>
  <sheetViews>
    <sheetView showGridLines="0" zoomScaleNormal="100" workbookViewId="0">
      <pane xSplit="1" ySplit="3" topLeftCell="B4" activePane="bottomRight" state="frozen"/>
      <selection pane="topRight" activeCell="B1" sqref="B1"/>
      <selection pane="bottomLeft" activeCell="A4" sqref="A4"/>
      <selection pane="bottomRight" activeCell="C9" sqref="C9"/>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243</v>
      </c>
      <c r="B1" s="114"/>
      <c r="C1" s="114"/>
      <c r="D1" s="114"/>
      <c r="E1" s="114"/>
      <c r="F1" s="114"/>
      <c r="G1" s="114"/>
    </row>
    <row r="2" spans="1:7" ht="1.5" customHeight="1" x14ac:dyDescent="0.3">
      <c r="A2" s="103" t="s">
        <v>244</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245</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71</v>
      </c>
      <c r="C9" s="8" t="s">
        <v>72</v>
      </c>
      <c r="D9" s="9" t="str">
        <f>IFERROR(INDEX(__DATA__!$D$21:$D$23,MATCH(C9,__DATA__!$C$21:$C$23,0)),"Select an option from the dropdown above")</f>
        <v>APPLE CARROT GINGER JUICE: Wash 3 medium apples and 4 large carrots. Core apples and cut into wedges (do not peel). Scrub carrots and trim tops (do not peel). Peel 1 inch of fresh ginger and peel 1/2 lemon. Juice in this order: carrots first, then apple, then ginger, then lemon last. Stir the finished juice well and drink immediately. Masticating juicer: up to 20 min before oxidation. Centrifugal juicer: drink within 10-15 minutes.</v>
      </c>
      <c r="E9" s="10" t="str">
        <f>IFERROR(INDEX(__DATA__!$E$21:$E$23,MATCH(C9,__DATA__!$C$21:$C$23,0)),"")</f>
        <v>Best for days 1-3 when adjusting to juicing. Most approachable flavor.</v>
      </c>
      <c r="F9" s="11" t="s">
        <v>75</v>
      </c>
      <c r="G9" s="11" t="s">
        <v>78</v>
      </c>
    </row>
    <row r="10" spans="1:7" ht="79.5" customHeight="1" x14ac:dyDescent="0.3">
      <c r="A10" s="1"/>
      <c r="B10" s="12" t="s">
        <v>81</v>
      </c>
      <c r="C10" s="8" t="s">
        <v>82</v>
      </c>
      <c r="D10" s="9" t="str">
        <f>IFERROR(INDEX(__DATA__!$D$24:$D$25,MATCH(C10,__DATA__!$C$24:$C$25,0)),"Select an option from the dropdown above")</f>
        <v>Use 4 large carrots (scrubbed, tops trimmed, do not peel). Orange juice color, mildly sweet, most approachable. Excellent for days 1-3.</v>
      </c>
      <c r="E10" s="10" t="str">
        <f>IFERROR(INDEX(__DATA__!$E$24:$E$25,MATCH(C10,__DATA__!$C$24:$C$25,0)),"")</f>
        <v>No staining concern. Good intro to root vegetable juicing.</v>
      </c>
      <c r="F10" s="11" t="s">
        <v>85</v>
      </c>
      <c r="G10" s="13"/>
    </row>
    <row r="11" spans="1:7" ht="79.5" customHeight="1" x14ac:dyDescent="0.3">
      <c r="A11" s="6"/>
      <c r="B11" s="7" t="s">
        <v>88</v>
      </c>
      <c r="C11" s="8" t="s">
        <v>89</v>
      </c>
      <c r="D11" s="9" t="str">
        <f>IFERROR(INDEX(__DATA__!$D$26:$D$28,MATCH(C11,__DATA__!$C$26:$C$28,0)),"Select an option from the dropdown above")</f>
        <v>Use a large handful of fresh parsley including stems. Wash very thoroughly - parsley carries grit between leaves. Strongest kidney-cleansing herb option.</v>
      </c>
      <c r="E11" s="10" t="str">
        <f>IFERROR(INDEX(__DATA__!$E$26:$E$28,MATCH(C11,__DATA__!$C$26:$C$28,0)),"")</f>
        <v>Best kidney cleansing option. Best for days 2-7.</v>
      </c>
      <c r="F11" s="11" t="s">
        <v>92</v>
      </c>
      <c r="G11" s="11" t="s">
        <v>95</v>
      </c>
    </row>
    <row r="12" spans="1:7" ht="7.5" customHeight="1" x14ac:dyDescent="0.3">
      <c r="A12" s="1"/>
      <c r="B12" s="1"/>
      <c r="C12" s="1"/>
      <c r="D12" s="1"/>
      <c r="E12" s="1"/>
      <c r="F12" s="1"/>
      <c r="G12" s="1"/>
    </row>
    <row r="13" spans="1:7" ht="12.75" customHeight="1" x14ac:dyDescent="0.3">
      <c r="A13" s="94" t="s">
        <v>201</v>
      </c>
      <c r="B13" s="94"/>
      <c r="C13" s="94"/>
      <c r="D13" s="94"/>
      <c r="E13" s="94"/>
      <c r="F13" s="94"/>
      <c r="G13" s="94"/>
    </row>
    <row r="14" spans="1:7" ht="13.5" customHeight="1" x14ac:dyDescent="0.3">
      <c r="A14" s="97" t="s">
        <v>202</v>
      </c>
      <c r="B14" s="97"/>
      <c r="C14" s="97"/>
      <c r="D14" s="97"/>
      <c r="E14" s="97"/>
      <c r="F14" s="97"/>
      <c r="G14" s="97"/>
    </row>
    <row r="15" spans="1:7" ht="15" customHeight="1" x14ac:dyDescent="0.3">
      <c r="A15" s="91" t="s">
        <v>246</v>
      </c>
      <c r="B15" s="91"/>
      <c r="C15" s="91"/>
      <c r="D15" s="91"/>
      <c r="E15" s="91"/>
      <c r="F15" s="91"/>
      <c r="G15" s="91"/>
    </row>
    <row r="16" spans="1:7" ht="15.75" customHeight="1" x14ac:dyDescent="0.3">
      <c r="A16" s="88" t="s">
        <v>247</v>
      </c>
      <c r="B16" s="88"/>
      <c r="C16" s="88"/>
      <c r="D16" s="88"/>
      <c r="E16" s="88"/>
      <c r="F16" s="88"/>
      <c r="G16" s="88"/>
    </row>
    <row r="17" spans="1:7" ht="16.5" customHeight="1" x14ac:dyDescent="0.3">
      <c r="A17" s="91" t="s">
        <v>248</v>
      </c>
      <c r="B17" s="91"/>
      <c r="C17" s="91"/>
      <c r="D17" s="91"/>
      <c r="E17" s="91"/>
      <c r="F17" s="91"/>
      <c r="G17" s="91"/>
    </row>
    <row r="18" spans="1:7" ht="18" customHeight="1" x14ac:dyDescent="0.3">
      <c r="A18" s="88" t="s">
        <v>249</v>
      </c>
      <c r="B18" s="88"/>
      <c r="C18" s="88"/>
      <c r="D18" s="88"/>
      <c r="E18" s="88"/>
      <c r="F18" s="88"/>
      <c r="G18" s="88"/>
    </row>
    <row r="19" spans="1:7" ht="18.75" customHeight="1" x14ac:dyDescent="0.3">
      <c r="A19" s="91" t="s">
        <v>250</v>
      </c>
      <c r="B19" s="91"/>
      <c r="C19" s="91"/>
      <c r="D19" s="91"/>
      <c r="E19" s="91"/>
      <c r="F19" s="91"/>
      <c r="G19" s="91"/>
    </row>
    <row r="20" spans="1:7" ht="19.5" customHeight="1" x14ac:dyDescent="0.3">
      <c r="A20" s="88" t="s">
        <v>251</v>
      </c>
      <c r="B20" s="88"/>
      <c r="C20" s="88"/>
      <c r="D20" s="88"/>
      <c r="E20" s="88"/>
      <c r="F20" s="88"/>
      <c r="G20" s="88"/>
    </row>
    <row r="21" spans="1:7" ht="7.5" customHeight="1" x14ac:dyDescent="0.3">
      <c r="A21" s="1"/>
      <c r="B21" s="1"/>
      <c r="C21" s="1"/>
      <c r="D21" s="1"/>
      <c r="E21" s="1"/>
      <c r="F21" s="1"/>
      <c r="G21" s="1"/>
    </row>
    <row r="22" spans="1:7" ht="21.75" customHeight="1" x14ac:dyDescent="0.3">
      <c r="A22" s="79" t="s">
        <v>211</v>
      </c>
      <c r="B22" s="79"/>
      <c r="C22" s="79"/>
      <c r="D22" s="79"/>
      <c r="E22" s="79"/>
      <c r="F22" s="79"/>
      <c r="G22" s="79"/>
    </row>
    <row r="23" spans="1:7" ht="22.5" customHeight="1" x14ac:dyDescent="0.3">
      <c r="A23" s="82" t="s">
        <v>252</v>
      </c>
      <c r="B23" s="82"/>
      <c r="C23" s="82"/>
      <c r="D23" s="82"/>
      <c r="E23" s="82"/>
      <c r="F23" s="82"/>
      <c r="G23" s="82"/>
    </row>
    <row r="24" spans="1:7" ht="24" customHeight="1" x14ac:dyDescent="0.3">
      <c r="A24" s="82" t="s">
        <v>253</v>
      </c>
      <c r="B24" s="82"/>
      <c r="C24" s="82"/>
      <c r="D24" s="82"/>
      <c r="E24" s="82"/>
      <c r="F24" s="82"/>
      <c r="G24" s="82"/>
    </row>
    <row r="25" spans="1:7" ht="24.75" customHeight="1" x14ac:dyDescent="0.3">
      <c r="A25" s="82" t="s">
        <v>254</v>
      </c>
      <c r="B25" s="82"/>
      <c r="C25" s="82"/>
      <c r="D25" s="82"/>
      <c r="E25" s="82"/>
      <c r="F25" s="82"/>
      <c r="G25" s="82"/>
    </row>
    <row r="26" spans="1:7" ht="25.5" customHeight="1" x14ac:dyDescent="0.3">
      <c r="A26" s="82" t="s">
        <v>255</v>
      </c>
      <c r="B26" s="82"/>
      <c r="C26" s="82"/>
      <c r="D26" s="82"/>
      <c r="E26" s="82"/>
      <c r="F26" s="82"/>
      <c r="G26" s="82"/>
    </row>
    <row r="27" spans="1:7" ht="6" customHeight="1" x14ac:dyDescent="0.3">
      <c r="A27" s="1"/>
      <c r="B27" s="1"/>
      <c r="C27" s="1"/>
      <c r="D27" s="1"/>
      <c r="E27" s="1"/>
      <c r="F27" s="1"/>
      <c r="G27" s="1"/>
    </row>
  </sheetData>
  <mergeCells count="18">
    <mergeCell ref="A1:G1"/>
    <mergeCell ref="A2:G2"/>
    <mergeCell ref="A4:G4"/>
    <mergeCell ref="A5:G5"/>
    <mergeCell ref="A7:G7"/>
    <mergeCell ref="A13:G13"/>
    <mergeCell ref="A14:G14"/>
    <mergeCell ref="A15:G15"/>
    <mergeCell ref="A16:G16"/>
    <mergeCell ref="A17:G17"/>
    <mergeCell ref="A24:G24"/>
    <mergeCell ref="A25:G25"/>
    <mergeCell ref="A26:G26"/>
    <mergeCell ref="A18:G18"/>
    <mergeCell ref="A19:G19"/>
    <mergeCell ref="A20:G20"/>
    <mergeCell ref="A22:G22"/>
    <mergeCell ref="A23:G23"/>
  </mergeCells>
  <dataValidations count="3">
    <dataValidation type="list" allowBlank="1" sqref="C9" xr:uid="{00000000-0002-0000-0400-000000000000}">
      <formula1>"Apple Carrot Ginger Juice,Green Detox Juice,Citrus Beet Juice"</formula1>
      <formula2>0</formula2>
    </dataValidation>
    <dataValidation type="list" allowBlank="1" sqref="C10" xr:uid="{00000000-0002-0000-0400-000001000000}">
      <formula1>"Carrot,Beet"</formula1>
      <formula2>0</formula2>
    </dataValidation>
    <dataValidation type="list" allowBlank="1" sqref="C11" xr:uid="{00000000-0002-0000-0400-000002000000}">
      <formula1>"Parsley,Cilantro,Fresh Mint"</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D6B8C"/>
    <pageSetUpPr fitToPage="1"/>
  </sheetPr>
  <dimension ref="A1:G27"/>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256</v>
      </c>
      <c r="B1" s="114"/>
      <c r="C1" s="114"/>
      <c r="D1" s="114"/>
      <c r="E1" s="114"/>
      <c r="F1" s="114"/>
      <c r="G1" s="114"/>
    </row>
    <row r="2" spans="1:7" ht="1.5" customHeight="1" x14ac:dyDescent="0.3">
      <c r="A2" s="103" t="s">
        <v>257</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258</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99</v>
      </c>
      <c r="C9" s="8" t="s">
        <v>100</v>
      </c>
      <c r="D9" s="9" t="str">
        <f>IFERROR(INDEX(__DATA__!$D$29:$D$31,MATCH(C9,__DATA__!$C$29:$C$31,0)),"Select an option from the dropdown above")</f>
        <v>CLASSIC DETOX SALAD: Build a large base of 3-4 handfuls mixed lettuce plus 1 handful kale or spinach. Add: grated carrots, sliced red onion, cucumber, sprouts, chopped beets, and a small handful of fresh parsley. DRESSING: 1 Tbsp extra virgin olive oil plus fresh lemon juice or 1.5 tsp raw unfiltered apple cider vinegar. Toss thoroughly. Take Digestive Enzymes as directed. Eat slowly and chew every bite thoroughly - raw vegetables require significant digestion.</v>
      </c>
      <c r="E9" s="10" t="str">
        <f>IFERROR(INDEX(__DATA__!$E$29:$E$31,MATCH(C9,__DATA__!$C$29:$C$31,0)),"")</f>
        <v>Best everyday salad for days 1-7. Most meal-prep friendly.</v>
      </c>
      <c r="F9" s="11" t="s">
        <v>103</v>
      </c>
      <c r="G9" s="11" t="s">
        <v>106</v>
      </c>
    </row>
    <row r="10" spans="1:7" ht="79.5" customHeight="1" x14ac:dyDescent="0.3">
      <c r="A10" s="1"/>
      <c r="B10" s="12" t="s">
        <v>109</v>
      </c>
      <c r="C10" s="8" t="s">
        <v>58</v>
      </c>
      <c r="D10" s="9" t="str">
        <f>IFERROR(INDEX(__DATA__!$D$32:$D$35,MATCH(C10,__DATA__!$C$32:$C$35,0)),"Select an option from the dropdown above")</f>
        <v>Remove stems completely, tear into bite-sized pieces. For raw salads, massage with a few drops of lemon juice for 60 seconds to tenderize. Most potent toxin-binding green.</v>
      </c>
      <c r="E10" s="10" t="str">
        <f>IFERROR(INDEX(__DATA__!$E$32:$E$35,MATCH(C10,__DATA__!$C$32:$C$35,0)),"")</f>
        <v>Massage it for best results - 60 seconds makes a dramatic difference in texture and bitterness.</v>
      </c>
      <c r="F10" s="11" t="s">
        <v>61</v>
      </c>
      <c r="G10" s="11" t="s">
        <v>114</v>
      </c>
    </row>
    <row r="11" spans="1:7" ht="79.5" customHeight="1" x14ac:dyDescent="0.3">
      <c r="A11" s="6"/>
      <c r="B11" s="7" t="s">
        <v>119</v>
      </c>
      <c r="C11" s="8" t="s">
        <v>120</v>
      </c>
      <c r="D11" s="9" t="str">
        <f>IFERROR(INDEX(__DATA__!$D$36:$D$38,MATCH(C11,__DATA__!$C$36:$C$38,0)),"Select an option from the dropdown above")</f>
        <v>Drizzle 1 Tbsp extra virgin olive oil evenly over the salad. Squeeze fresh lemon juice over everything. Toss thoroughly. Brightest and most versatile dressing option.</v>
      </c>
      <c r="E11" s="10" t="str">
        <f>IFERROR(INDEX(__DATA__!$E$36:$E$38,MATCH(C11,__DATA__!$C$36:$C$38,0)),"")</f>
        <v>Most versatile - pairs with all salad options.</v>
      </c>
      <c r="F11" s="11" t="s">
        <v>123</v>
      </c>
      <c r="G11" s="11" t="s">
        <v>126</v>
      </c>
    </row>
    <row r="12" spans="1:7" ht="7.5" customHeight="1" x14ac:dyDescent="0.3">
      <c r="A12" s="1"/>
      <c r="B12" s="1"/>
      <c r="C12" s="1"/>
      <c r="D12" s="1"/>
      <c r="E12" s="1"/>
      <c r="F12" s="1"/>
      <c r="G12" s="1"/>
    </row>
    <row r="13" spans="1:7" ht="12.75" customHeight="1" x14ac:dyDescent="0.3">
      <c r="A13" s="94" t="s">
        <v>201</v>
      </c>
      <c r="B13" s="94"/>
      <c r="C13" s="94"/>
      <c r="D13" s="94"/>
      <c r="E13" s="94"/>
      <c r="F13" s="94"/>
      <c r="G13" s="94"/>
    </row>
    <row r="14" spans="1:7" ht="13.5" customHeight="1" x14ac:dyDescent="0.3">
      <c r="A14" s="97" t="s">
        <v>202</v>
      </c>
      <c r="B14" s="97"/>
      <c r="C14" s="97"/>
      <c r="D14" s="97"/>
      <c r="E14" s="97"/>
      <c r="F14" s="97"/>
      <c r="G14" s="97"/>
    </row>
    <row r="15" spans="1:7" ht="15" customHeight="1" x14ac:dyDescent="0.3">
      <c r="A15" s="91" t="s">
        <v>259</v>
      </c>
      <c r="B15" s="91"/>
      <c r="C15" s="91"/>
      <c r="D15" s="91"/>
      <c r="E15" s="91"/>
      <c r="F15" s="91"/>
      <c r="G15" s="91"/>
    </row>
    <row r="16" spans="1:7" ht="15.75" customHeight="1" x14ac:dyDescent="0.3">
      <c r="A16" s="88" t="s">
        <v>260</v>
      </c>
      <c r="B16" s="88"/>
      <c r="C16" s="88"/>
      <c r="D16" s="88"/>
      <c r="E16" s="88"/>
      <c r="F16" s="88"/>
      <c r="G16" s="88"/>
    </row>
    <row r="17" spans="1:7" ht="16.5" customHeight="1" x14ac:dyDescent="0.3">
      <c r="A17" s="91" t="s">
        <v>261</v>
      </c>
      <c r="B17" s="91"/>
      <c r="C17" s="91"/>
      <c r="D17" s="91"/>
      <c r="E17" s="91"/>
      <c r="F17" s="91"/>
      <c r="G17" s="91"/>
    </row>
    <row r="18" spans="1:7" ht="18" customHeight="1" x14ac:dyDescent="0.3">
      <c r="A18" s="88" t="s">
        <v>262</v>
      </c>
      <c r="B18" s="88"/>
      <c r="C18" s="88"/>
      <c r="D18" s="88"/>
      <c r="E18" s="88"/>
      <c r="F18" s="88"/>
      <c r="G18" s="88"/>
    </row>
    <row r="19" spans="1:7" ht="18.75" customHeight="1" x14ac:dyDescent="0.3">
      <c r="A19" s="91" t="s">
        <v>263</v>
      </c>
      <c r="B19" s="91"/>
      <c r="C19" s="91"/>
      <c r="D19" s="91"/>
      <c r="E19" s="91"/>
      <c r="F19" s="91"/>
      <c r="G19" s="91"/>
    </row>
    <row r="20" spans="1:7" ht="19.5" customHeight="1" x14ac:dyDescent="0.3">
      <c r="A20" s="88" t="s">
        <v>264</v>
      </c>
      <c r="B20" s="88"/>
      <c r="C20" s="88"/>
      <c r="D20" s="88"/>
      <c r="E20" s="88"/>
      <c r="F20" s="88"/>
      <c r="G20" s="88"/>
    </row>
    <row r="21" spans="1:7" ht="7.5" customHeight="1" x14ac:dyDescent="0.3">
      <c r="A21" s="1"/>
      <c r="B21" s="1"/>
      <c r="C21" s="1"/>
      <c r="D21" s="1"/>
      <c r="E21" s="1"/>
      <c r="F21" s="1"/>
      <c r="G21" s="1"/>
    </row>
    <row r="22" spans="1:7" ht="21.75" customHeight="1" x14ac:dyDescent="0.3">
      <c r="A22" s="79" t="s">
        <v>211</v>
      </c>
      <c r="B22" s="79"/>
      <c r="C22" s="79"/>
      <c r="D22" s="79"/>
      <c r="E22" s="79"/>
      <c r="F22" s="79"/>
      <c r="G22" s="79"/>
    </row>
    <row r="23" spans="1:7" ht="22.5" customHeight="1" x14ac:dyDescent="0.3">
      <c r="A23" s="82" t="s">
        <v>265</v>
      </c>
      <c r="B23" s="82"/>
      <c r="C23" s="82"/>
      <c r="D23" s="82"/>
      <c r="E23" s="82"/>
      <c r="F23" s="82"/>
      <c r="G23" s="82"/>
    </row>
    <row r="24" spans="1:7" ht="24" customHeight="1" x14ac:dyDescent="0.3">
      <c r="A24" s="82" t="s">
        <v>266</v>
      </c>
      <c r="B24" s="82"/>
      <c r="C24" s="82"/>
      <c r="D24" s="82"/>
      <c r="E24" s="82"/>
      <c r="F24" s="82"/>
      <c r="G24" s="82"/>
    </row>
    <row r="25" spans="1:7" ht="24.75" customHeight="1" x14ac:dyDescent="0.3">
      <c r="A25" s="82" t="s">
        <v>267</v>
      </c>
      <c r="B25" s="82"/>
      <c r="C25" s="82"/>
      <c r="D25" s="82"/>
      <c r="E25" s="82"/>
      <c r="F25" s="82"/>
      <c r="G25" s="82"/>
    </row>
    <row r="26" spans="1:7" ht="25.5" customHeight="1" x14ac:dyDescent="0.3">
      <c r="A26" s="82" t="s">
        <v>268</v>
      </c>
      <c r="B26" s="82"/>
      <c r="C26" s="82"/>
      <c r="D26" s="82"/>
      <c r="E26" s="82"/>
      <c r="F26" s="82"/>
      <c r="G26" s="82"/>
    </row>
    <row r="27" spans="1:7" ht="6" customHeight="1" x14ac:dyDescent="0.3">
      <c r="A27" s="1"/>
      <c r="B27" s="1"/>
      <c r="C27" s="1"/>
      <c r="D27" s="1"/>
      <c r="E27" s="1"/>
      <c r="F27" s="1"/>
      <c r="G27" s="1"/>
    </row>
  </sheetData>
  <mergeCells count="18">
    <mergeCell ref="A1:G1"/>
    <mergeCell ref="A2:G2"/>
    <mergeCell ref="A4:G4"/>
    <mergeCell ref="A5:G5"/>
    <mergeCell ref="A7:G7"/>
    <mergeCell ref="A13:G13"/>
    <mergeCell ref="A14:G14"/>
    <mergeCell ref="A15:G15"/>
    <mergeCell ref="A16:G16"/>
    <mergeCell ref="A17:G17"/>
    <mergeCell ref="A24:G24"/>
    <mergeCell ref="A25:G25"/>
    <mergeCell ref="A26:G26"/>
    <mergeCell ref="A18:G18"/>
    <mergeCell ref="A19:G19"/>
    <mergeCell ref="A20:G20"/>
    <mergeCell ref="A22:G22"/>
    <mergeCell ref="A23:G23"/>
  </mergeCells>
  <dataValidations count="3">
    <dataValidation type="list" allowBlank="1" sqref="C9" xr:uid="{00000000-0002-0000-0500-000000000000}">
      <formula1>"Classic Detox Salad,Warm Steamed Veggie Salad,Chopped Beet and Sprout Salad"</formula1>
      <formula2>0</formula2>
    </dataValidation>
    <dataValidation type="list" allowBlank="1" sqref="C10" xr:uid="{00000000-0002-0000-0500-000001000000}">
      <formula1>"Kale,Spinach,Collard Ribbons,Chard"</formula1>
      <formula2>0</formula2>
    </dataValidation>
    <dataValidation type="list" allowBlank="1" sqref="C11" xr:uid="{00000000-0002-0000-0500-000002000000}">
      <formula1>"Lemon and Olive Oil,Lime and Olive Oil,Apple Cider Vinegar and Olive Oil"</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05020"/>
    <pageSetUpPr fitToPage="1"/>
  </sheetPr>
  <dimension ref="A1:G26"/>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269</v>
      </c>
      <c r="B1" s="114"/>
      <c r="C1" s="114"/>
      <c r="D1" s="114"/>
      <c r="E1" s="114"/>
      <c r="F1" s="114"/>
      <c r="G1" s="114"/>
    </row>
    <row r="2" spans="1:7" ht="1.5" customHeight="1" x14ac:dyDescent="0.3">
      <c r="A2" s="103" t="s">
        <v>270</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271</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130</v>
      </c>
      <c r="C9" s="8" t="s">
        <v>131</v>
      </c>
      <c r="D9" s="9" t="str">
        <f>IFERROR(INDEX(__DATA__!$D$39:$D$40,MATCH(C9,__DATA__!$C$39:$C$40,0)),"Select an option from the dropdown above")</f>
        <v>CELERY AND ALMONDS WITH HERBAL TEA: Drink your full 16 oz of water FIRST before eating anything. Then wash 3-4 celery stalks (include the leaves - they are more nutritious than the stalks). Cut into 3-4 inch pieces. Arrange on a plate alongside your soaked almonds (12-15 almonds). Brew your detox tea: steep 1-2 bags for 3-5 minutes covered. No sweetener. Eat the celery and almonds slowly, alternating between them, while sipping the tea. Take 10-15 minutes for this snack.</v>
      </c>
      <c r="E9" s="10" t="str">
        <f>IFERROR(INDEX(__DATA__!$E$39:$E$40,MATCH(C9,__DATA__!$C$39:$C$40,0)),"")</f>
        <v>Best option for days when hunger is intense - most filling. No juicer needed.</v>
      </c>
      <c r="F9" s="11" t="s">
        <v>134</v>
      </c>
      <c r="G9" s="13"/>
    </row>
    <row r="10" spans="1:7" ht="79.5" customHeight="1" x14ac:dyDescent="0.3">
      <c r="A10" s="1"/>
      <c r="B10" s="12" t="s">
        <v>137</v>
      </c>
      <c r="C10" s="8" t="s">
        <v>138</v>
      </c>
      <c r="D10" s="9" t="str">
        <f>IFERROR(INDEX(__DATA__!$D$41:$D$43,MATCH(C10,__DATA__!$C$41:$C$43,0)),"Select an option from the dropdown above")</f>
        <v>Wash 3-4 celery stalks thoroughly. Include the leaves - they contain more nutrients than the stalks. Cut into 3-4 inch pieces or leave whole.</v>
      </c>
      <c r="E10" s="10" t="str">
        <f>IFERROR(INDEX(__DATA__!$E$41:$E$43,MATCH(C10,__DATA__!$C$41:$C$43,0)),"")</f>
        <v>Default best choice - most powerful for sodium flush and bloat reduction.</v>
      </c>
      <c r="F10" s="11" t="s">
        <v>141</v>
      </c>
      <c r="G10" s="11" t="s">
        <v>144</v>
      </c>
    </row>
    <row r="11" spans="1:7" ht="7.5" customHeight="1" x14ac:dyDescent="0.3">
      <c r="A11" s="1"/>
      <c r="B11" s="1"/>
      <c r="C11" s="1"/>
      <c r="D11" s="1"/>
      <c r="E11" s="1"/>
      <c r="F11" s="1"/>
      <c r="G11" s="1"/>
    </row>
    <row r="12" spans="1:7" ht="12" customHeight="1" x14ac:dyDescent="0.3">
      <c r="A12" s="94" t="s">
        <v>201</v>
      </c>
      <c r="B12" s="94"/>
      <c r="C12" s="94"/>
      <c r="D12" s="94"/>
      <c r="E12" s="94"/>
      <c r="F12" s="94"/>
      <c r="G12" s="94"/>
    </row>
    <row r="13" spans="1:7" ht="12.75" customHeight="1" x14ac:dyDescent="0.3">
      <c r="A13" s="97" t="s">
        <v>202</v>
      </c>
      <c r="B13" s="97"/>
      <c r="C13" s="97"/>
      <c r="D13" s="97"/>
      <c r="E13" s="97"/>
      <c r="F13" s="97"/>
      <c r="G13" s="97"/>
    </row>
    <row r="14" spans="1:7" ht="13.5" customHeight="1" x14ac:dyDescent="0.3">
      <c r="A14" s="91" t="s">
        <v>272</v>
      </c>
      <c r="B14" s="91"/>
      <c r="C14" s="91"/>
      <c r="D14" s="91"/>
      <c r="E14" s="91"/>
      <c r="F14" s="91"/>
      <c r="G14" s="91"/>
    </row>
    <row r="15" spans="1:7" ht="15" customHeight="1" x14ac:dyDescent="0.3">
      <c r="A15" s="88" t="s">
        <v>273</v>
      </c>
      <c r="B15" s="88"/>
      <c r="C15" s="88"/>
      <c r="D15" s="88"/>
      <c r="E15" s="88"/>
      <c r="F15" s="88"/>
      <c r="G15" s="88"/>
    </row>
    <row r="16" spans="1:7" ht="15.75" customHeight="1" x14ac:dyDescent="0.3">
      <c r="A16" s="91" t="s">
        <v>274</v>
      </c>
      <c r="B16" s="91"/>
      <c r="C16" s="91"/>
      <c r="D16" s="91"/>
      <c r="E16" s="91"/>
      <c r="F16" s="91"/>
      <c r="G16" s="91"/>
    </row>
    <row r="17" spans="1:7" ht="16.5" customHeight="1" x14ac:dyDescent="0.3">
      <c r="A17" s="88" t="s">
        <v>275</v>
      </c>
      <c r="B17" s="88"/>
      <c r="C17" s="88"/>
      <c r="D17" s="88"/>
      <c r="E17" s="88"/>
      <c r="F17" s="88"/>
      <c r="G17" s="88"/>
    </row>
    <row r="18" spans="1:7" ht="18" customHeight="1" x14ac:dyDescent="0.3">
      <c r="A18" s="91" t="s">
        <v>276</v>
      </c>
      <c r="B18" s="91"/>
      <c r="C18" s="91"/>
      <c r="D18" s="91"/>
      <c r="E18" s="91"/>
      <c r="F18" s="91"/>
      <c r="G18" s="91"/>
    </row>
    <row r="19" spans="1:7" ht="18.75" customHeight="1" x14ac:dyDescent="0.3">
      <c r="A19" s="88" t="s">
        <v>277</v>
      </c>
      <c r="B19" s="88"/>
      <c r="C19" s="88"/>
      <c r="D19" s="88"/>
      <c r="E19" s="88"/>
      <c r="F19" s="88"/>
      <c r="G19" s="88"/>
    </row>
    <row r="20" spans="1:7" ht="7.5" customHeight="1" x14ac:dyDescent="0.3">
      <c r="A20" s="1"/>
      <c r="B20" s="1"/>
      <c r="C20" s="1"/>
      <c r="D20" s="1"/>
      <c r="E20" s="1"/>
      <c r="F20" s="1"/>
      <c r="G20" s="1"/>
    </row>
    <row r="21" spans="1:7" ht="21" customHeight="1" x14ac:dyDescent="0.3">
      <c r="A21" s="79" t="s">
        <v>211</v>
      </c>
      <c r="B21" s="79"/>
      <c r="C21" s="79"/>
      <c r="D21" s="79"/>
      <c r="E21" s="79"/>
      <c r="F21" s="79"/>
      <c r="G21" s="79"/>
    </row>
    <row r="22" spans="1:7" ht="21.75" customHeight="1" x14ac:dyDescent="0.3">
      <c r="A22" s="82" t="s">
        <v>278</v>
      </c>
      <c r="B22" s="82"/>
      <c r="C22" s="82"/>
      <c r="D22" s="82"/>
      <c r="E22" s="82"/>
      <c r="F22" s="82"/>
      <c r="G22" s="82"/>
    </row>
    <row r="23" spans="1:7" ht="22.5" customHeight="1" x14ac:dyDescent="0.3">
      <c r="A23" s="82" t="s">
        <v>279</v>
      </c>
      <c r="B23" s="82"/>
      <c r="C23" s="82"/>
      <c r="D23" s="82"/>
      <c r="E23" s="82"/>
      <c r="F23" s="82"/>
      <c r="G23" s="82"/>
    </row>
    <row r="24" spans="1:7" ht="24" customHeight="1" x14ac:dyDescent="0.3">
      <c r="A24" s="82" t="s">
        <v>280</v>
      </c>
      <c r="B24" s="82"/>
      <c r="C24" s="82"/>
      <c r="D24" s="82"/>
      <c r="E24" s="82"/>
      <c r="F24" s="82"/>
      <c r="G24" s="82"/>
    </row>
    <row r="25" spans="1:7" ht="24.75" customHeight="1" x14ac:dyDescent="0.3">
      <c r="A25" s="82" t="s">
        <v>281</v>
      </c>
      <c r="B25" s="82"/>
      <c r="C25" s="82"/>
      <c r="D25" s="82"/>
      <c r="E25" s="82"/>
      <c r="F25" s="82"/>
      <c r="G25" s="82"/>
    </row>
    <row r="26" spans="1:7" ht="6" customHeight="1" x14ac:dyDescent="0.3">
      <c r="A26" s="1"/>
      <c r="B26" s="1"/>
      <c r="C26" s="1"/>
      <c r="D26" s="1"/>
      <c r="E26" s="1"/>
      <c r="F26" s="1"/>
      <c r="G26" s="1"/>
    </row>
  </sheetData>
  <mergeCells count="18">
    <mergeCell ref="A1:G1"/>
    <mergeCell ref="A2:G2"/>
    <mergeCell ref="A4:G4"/>
    <mergeCell ref="A5:G5"/>
    <mergeCell ref="A7:G7"/>
    <mergeCell ref="A12:G12"/>
    <mergeCell ref="A13:G13"/>
    <mergeCell ref="A14:G14"/>
    <mergeCell ref="A15:G15"/>
    <mergeCell ref="A16:G16"/>
    <mergeCell ref="A23:G23"/>
    <mergeCell ref="A24:G24"/>
    <mergeCell ref="A25:G25"/>
    <mergeCell ref="A17:G17"/>
    <mergeCell ref="A18:G18"/>
    <mergeCell ref="A19:G19"/>
    <mergeCell ref="A21:G21"/>
    <mergeCell ref="A22:G22"/>
  </mergeCells>
  <dataValidations count="2">
    <dataValidation type="list" allowBlank="1" sqref="C9" xr:uid="{00000000-0002-0000-0600-000000000000}">
      <formula1>"Celery and Almonds with Herbal Tea,Apple Slices with Green Juice"</formula1>
      <formula2>0</formula2>
    </dataValidation>
    <dataValidation type="list" allowBlank="1" sqref="C10" xr:uid="{00000000-0002-0000-0600-000001000000}">
      <formula1>"Celery Stalks,Cucumber Spears,Fennel Stalks"</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D6A4F"/>
    <pageSetUpPr fitToPage="1"/>
  </sheetPr>
  <dimension ref="A1:G27"/>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282</v>
      </c>
      <c r="B1" s="114"/>
      <c r="C1" s="114"/>
      <c r="D1" s="114"/>
      <c r="E1" s="114"/>
      <c r="F1" s="114"/>
      <c r="G1" s="114"/>
    </row>
    <row r="2" spans="1:7" ht="1.5" customHeight="1" x14ac:dyDescent="0.3">
      <c r="A2" s="103" t="s">
        <v>283</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284</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148</v>
      </c>
      <c r="C9" s="8" t="s">
        <v>149</v>
      </c>
      <c r="D9" s="9" t="str">
        <f>IFERROR(INDEX(__DATA__!$D$44:$D$46,MATCH(C9,__DATA__!$C$44:$C$46,0)),"Select an option from the dropdown above")</f>
        <v>STEAMED KALE AND BUTTERNUT SQUASH BOWL: Peel and cube 1.5 cups butternut squash into 3/4-inch pieces. Cut your cruciferous vegetable into medium florets. Remove stems from your dark leafy green. Mince 2 garlic cloves and let rest 5 minutes. STEAM: 1.5 inches purified water, rolling boil. Add squash first (8-10 min total). After 4 min, add cruciferous. After 3 more min, add greens on top (2-3 min only). Test squash with fork - slight resistance is perfect. DRESSING: while steaming, combine 1 Tbsp olive oil, lemon juice, minced garlic, cayenne, and sodium-free seasoning in serving bowl. Add hot vegetables, toss immediately. Rest 2 minutes before eating.</v>
      </c>
      <c r="E9" s="10" t="str">
        <f>IFERROR(INDEX(__DATA__!$E$44:$E$46,MATCH(C9,__DATA__!$C$44:$C$46,0)),"")</f>
        <v>Default dinner. Best for all 7 days. Batch-prep squash at week start.</v>
      </c>
      <c r="F9" s="11" t="s">
        <v>152</v>
      </c>
      <c r="G9" s="11" t="s">
        <v>155</v>
      </c>
    </row>
    <row r="10" spans="1:7" ht="79.5" customHeight="1" x14ac:dyDescent="0.3">
      <c r="A10" s="1"/>
      <c r="B10" s="12" t="s">
        <v>109</v>
      </c>
      <c r="C10" s="8" t="s">
        <v>58</v>
      </c>
      <c r="D10" s="9" t="str">
        <f>IFERROR(INDEX(__DATA__!$D$47:$D$50,MATCH(C10,__DATA__!$C$47:$C$50,0)),"Select an option from the dropdown above")</f>
        <v>Remove stems completely. Tear into large pieces for steaming or large pieces for sauteing. Most potent toxin-binding green for dinner.</v>
      </c>
      <c r="E10" s="10" t="str">
        <f>IFERROR(INDEX(__DATA__!$E$47:$E$50,MATCH(C10,__DATA__!$C$47:$C$50,0)),"")</f>
        <v>Most potent. Best everyday choice for all 7 days.</v>
      </c>
      <c r="F10" s="11" t="s">
        <v>160</v>
      </c>
      <c r="G10" s="11" t="s">
        <v>67</v>
      </c>
    </row>
    <row r="11" spans="1:7" ht="79.5" customHeight="1" x14ac:dyDescent="0.3">
      <c r="A11" s="6"/>
      <c r="B11" s="7" t="s">
        <v>167</v>
      </c>
      <c r="C11" s="8" t="s">
        <v>168</v>
      </c>
      <c r="D11" s="9" t="str">
        <f>IFERROR(INDEX(__DATA__!$D$51:$D$53,MATCH(C11,__DATA__!$C$51:$C$53,0)),"Select an option from the dropdown above")</f>
        <v>Peel and cube into 3/4-inch pieces. Uniform size is critical for even cooking. Easiest to prep. Mildly sweet. Batch-prep at week start - keeps 5-6 days refrigerated.</v>
      </c>
      <c r="E11" s="10" t="str">
        <f>IFERROR(INDEX(__DATA__!$E$51:$E$53,MATCH(C11,__DATA__!$C$51:$C$53,0)),"")</f>
        <v>Easiest to prep. Best everyday choice for most dinners.</v>
      </c>
      <c r="F11" s="11" t="s">
        <v>171</v>
      </c>
      <c r="G11" s="11" t="s">
        <v>174</v>
      </c>
    </row>
    <row r="12" spans="1:7" ht="7.5" customHeight="1" x14ac:dyDescent="0.3">
      <c r="A12" s="1"/>
      <c r="B12" s="1"/>
      <c r="C12" s="1"/>
      <c r="D12" s="1"/>
      <c r="E12" s="1"/>
      <c r="F12" s="1"/>
      <c r="G12" s="1"/>
    </row>
    <row r="13" spans="1:7" ht="12.75" customHeight="1" x14ac:dyDescent="0.3">
      <c r="A13" s="94" t="s">
        <v>201</v>
      </c>
      <c r="B13" s="94"/>
      <c r="C13" s="94"/>
      <c r="D13" s="94"/>
      <c r="E13" s="94"/>
      <c r="F13" s="94"/>
      <c r="G13" s="94"/>
    </row>
    <row r="14" spans="1:7" ht="13.5" customHeight="1" x14ac:dyDescent="0.3">
      <c r="A14" s="97" t="s">
        <v>202</v>
      </c>
      <c r="B14" s="97"/>
      <c r="C14" s="97"/>
      <c r="D14" s="97"/>
      <c r="E14" s="97"/>
      <c r="F14" s="97"/>
      <c r="G14" s="97"/>
    </row>
    <row r="15" spans="1:7" ht="15" customHeight="1" x14ac:dyDescent="0.3">
      <c r="A15" s="91" t="s">
        <v>285</v>
      </c>
      <c r="B15" s="91"/>
      <c r="C15" s="91"/>
      <c r="D15" s="91"/>
      <c r="E15" s="91"/>
      <c r="F15" s="91"/>
      <c r="G15" s="91"/>
    </row>
    <row r="16" spans="1:7" ht="15.75" customHeight="1" x14ac:dyDescent="0.3">
      <c r="A16" s="88" t="s">
        <v>286</v>
      </c>
      <c r="B16" s="88"/>
      <c r="C16" s="88"/>
      <c r="D16" s="88"/>
      <c r="E16" s="88"/>
      <c r="F16" s="88"/>
      <c r="G16" s="88"/>
    </row>
    <row r="17" spans="1:7" ht="16.5" customHeight="1" x14ac:dyDescent="0.3">
      <c r="A17" s="91" t="s">
        <v>287</v>
      </c>
      <c r="B17" s="91"/>
      <c r="C17" s="91"/>
      <c r="D17" s="91"/>
      <c r="E17" s="91"/>
      <c r="F17" s="91"/>
      <c r="G17" s="91"/>
    </row>
    <row r="18" spans="1:7" ht="18" customHeight="1" x14ac:dyDescent="0.3">
      <c r="A18" s="88" t="s">
        <v>288</v>
      </c>
      <c r="B18" s="88"/>
      <c r="C18" s="88"/>
      <c r="D18" s="88"/>
      <c r="E18" s="88"/>
      <c r="F18" s="88"/>
      <c r="G18" s="88"/>
    </row>
    <row r="19" spans="1:7" ht="18.75" customHeight="1" x14ac:dyDescent="0.3">
      <c r="A19" s="91" t="s">
        <v>289</v>
      </c>
      <c r="B19" s="91"/>
      <c r="C19" s="91"/>
      <c r="D19" s="91"/>
      <c r="E19" s="91"/>
      <c r="F19" s="91"/>
      <c r="G19" s="91"/>
    </row>
    <row r="20" spans="1:7" ht="19.5" customHeight="1" x14ac:dyDescent="0.3">
      <c r="A20" s="88" t="s">
        <v>290</v>
      </c>
      <c r="B20" s="88"/>
      <c r="C20" s="88"/>
      <c r="D20" s="88"/>
      <c r="E20" s="88"/>
      <c r="F20" s="88"/>
      <c r="G20" s="88"/>
    </row>
    <row r="21" spans="1:7" ht="7.5" customHeight="1" x14ac:dyDescent="0.3">
      <c r="A21" s="1"/>
      <c r="B21" s="1"/>
      <c r="C21" s="1"/>
      <c r="D21" s="1"/>
      <c r="E21" s="1"/>
      <c r="F21" s="1"/>
      <c r="G21" s="1"/>
    </row>
    <row r="22" spans="1:7" ht="21.75" customHeight="1" x14ac:dyDescent="0.3">
      <c r="A22" s="79" t="s">
        <v>211</v>
      </c>
      <c r="B22" s="79"/>
      <c r="C22" s="79"/>
      <c r="D22" s="79"/>
      <c r="E22" s="79"/>
      <c r="F22" s="79"/>
      <c r="G22" s="79"/>
    </row>
    <row r="23" spans="1:7" ht="22.5" customHeight="1" x14ac:dyDescent="0.3">
      <c r="A23" s="82" t="s">
        <v>291</v>
      </c>
      <c r="B23" s="82"/>
      <c r="C23" s="82"/>
      <c r="D23" s="82"/>
      <c r="E23" s="82"/>
      <c r="F23" s="82"/>
      <c r="G23" s="82"/>
    </row>
    <row r="24" spans="1:7" ht="24" customHeight="1" x14ac:dyDescent="0.3">
      <c r="A24" s="82" t="s">
        <v>292</v>
      </c>
      <c r="B24" s="82"/>
      <c r="C24" s="82"/>
      <c r="D24" s="82"/>
      <c r="E24" s="82"/>
      <c r="F24" s="82"/>
      <c r="G24" s="82"/>
    </row>
    <row r="25" spans="1:7" ht="24.75" customHeight="1" x14ac:dyDescent="0.3">
      <c r="A25" s="82" t="s">
        <v>293</v>
      </c>
      <c r="B25" s="82"/>
      <c r="C25" s="82"/>
      <c r="D25" s="82"/>
      <c r="E25" s="82"/>
      <c r="F25" s="82"/>
      <c r="G25" s="82"/>
    </row>
    <row r="26" spans="1:7" ht="25.5" customHeight="1" x14ac:dyDescent="0.3">
      <c r="A26" s="82" t="s">
        <v>294</v>
      </c>
      <c r="B26" s="82"/>
      <c r="C26" s="82"/>
      <c r="D26" s="82"/>
      <c r="E26" s="82"/>
      <c r="F26" s="82"/>
      <c r="G26" s="82"/>
    </row>
    <row r="27" spans="1:7" ht="6" customHeight="1" x14ac:dyDescent="0.3">
      <c r="A27" s="1"/>
      <c r="B27" s="1"/>
      <c r="C27" s="1"/>
      <c r="D27" s="1"/>
      <c r="E27" s="1"/>
      <c r="F27" s="1"/>
      <c r="G27" s="1"/>
    </row>
  </sheetData>
  <mergeCells count="18">
    <mergeCell ref="A1:G1"/>
    <mergeCell ref="A2:G2"/>
    <mergeCell ref="A4:G4"/>
    <mergeCell ref="A5:G5"/>
    <mergeCell ref="A7:G7"/>
    <mergeCell ref="A13:G13"/>
    <mergeCell ref="A14:G14"/>
    <mergeCell ref="A15:G15"/>
    <mergeCell ref="A16:G16"/>
    <mergeCell ref="A17:G17"/>
    <mergeCell ref="A24:G24"/>
    <mergeCell ref="A25:G25"/>
    <mergeCell ref="A26:G26"/>
    <mergeCell ref="A18:G18"/>
    <mergeCell ref="A19:G19"/>
    <mergeCell ref="A20:G20"/>
    <mergeCell ref="A22:G22"/>
    <mergeCell ref="A23:G23"/>
  </mergeCells>
  <dataValidations count="3">
    <dataValidation type="list" allowBlank="1" sqref="C9" xr:uid="{00000000-0002-0000-0700-000000000000}">
      <formula1>"Steamed Kale and Butternut Squash Bowl,Sauteed Collards and Broccoli with Garlic,Raw Detox Plate"</formula1>
      <formula2>0</formula2>
    </dataValidation>
    <dataValidation type="list" allowBlank="1" sqref="C10" xr:uid="{00000000-0002-0000-0700-000001000000}">
      <formula1>"Kale,Collard Greens,Chard,Beet Greens"</formula1>
      <formula2>0</formula2>
    </dataValidation>
    <dataValidation type="list" allowBlank="1" sqref="C11" xr:uid="{00000000-0002-0000-0700-000002000000}">
      <formula1>"Butternut Squash,Kabocha Squash,Beets (cubed)"</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B4332"/>
    <pageSetUpPr fitToPage="1"/>
  </sheetPr>
  <dimension ref="A1:G27"/>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640625" defaultRowHeight="14.4" x14ac:dyDescent="0.3"/>
  <cols>
    <col min="1" max="1" width="3" customWidth="1"/>
    <col min="2" max="2" width="26" customWidth="1"/>
    <col min="3" max="3" width="22" customWidth="1"/>
    <col min="4" max="4" width="55" customWidth="1"/>
    <col min="5" max="7" width="18" customWidth="1"/>
  </cols>
  <sheetData>
    <row r="1" spans="1:7" ht="0.75" customHeight="1" x14ac:dyDescent="0.3">
      <c r="A1" s="114" t="s">
        <v>295</v>
      </c>
      <c r="B1" s="114"/>
      <c r="C1" s="114"/>
      <c r="D1" s="114"/>
      <c r="E1" s="114"/>
      <c r="F1" s="114"/>
      <c r="G1" s="114"/>
    </row>
    <row r="2" spans="1:7" ht="1.5" customHeight="1" x14ac:dyDescent="0.3">
      <c r="A2" s="103" t="s">
        <v>296</v>
      </c>
      <c r="B2" s="103"/>
      <c r="C2" s="103"/>
      <c r="D2" s="103"/>
      <c r="E2" s="103"/>
      <c r="F2" s="103"/>
      <c r="G2" s="103"/>
    </row>
    <row r="3" spans="1:7" ht="6" customHeight="1" x14ac:dyDescent="0.3">
      <c r="A3" s="1"/>
      <c r="B3" s="1"/>
      <c r="C3" s="1"/>
      <c r="D3" s="1"/>
      <c r="E3" s="1"/>
      <c r="F3" s="1"/>
      <c r="G3" s="1"/>
    </row>
    <row r="4" spans="1:7" ht="3.75" customHeight="1" x14ac:dyDescent="0.3">
      <c r="A4" s="106" t="s">
        <v>193</v>
      </c>
      <c r="B4" s="106"/>
      <c r="C4" s="106"/>
      <c r="D4" s="106"/>
      <c r="E4" s="106"/>
      <c r="F4" s="106"/>
      <c r="G4" s="106"/>
    </row>
    <row r="5" spans="1:7" ht="4.5" customHeight="1" x14ac:dyDescent="0.3">
      <c r="A5" s="109" t="s">
        <v>297</v>
      </c>
      <c r="B5" s="109"/>
      <c r="C5" s="109"/>
      <c r="D5" s="109"/>
      <c r="E5" s="109"/>
      <c r="F5" s="109"/>
      <c r="G5" s="109"/>
    </row>
    <row r="6" spans="1:7" ht="6" customHeight="1" x14ac:dyDescent="0.3">
      <c r="A6" s="1"/>
      <c r="B6" s="1"/>
      <c r="C6" s="1"/>
      <c r="D6" s="1"/>
      <c r="E6" s="1"/>
      <c r="F6" s="1"/>
      <c r="G6" s="1"/>
    </row>
    <row r="7" spans="1:7" ht="6.75" customHeight="1" x14ac:dyDescent="0.3">
      <c r="A7" s="112" t="s">
        <v>195</v>
      </c>
      <c r="B7" s="112"/>
      <c r="C7" s="112"/>
      <c r="D7" s="112"/>
      <c r="E7" s="112"/>
      <c r="F7" s="112"/>
      <c r="G7" s="112"/>
    </row>
    <row r="8" spans="1:7" ht="21.75" customHeight="1" x14ac:dyDescent="0.3">
      <c r="A8" s="2"/>
      <c r="B8" s="3" t="s">
        <v>196</v>
      </c>
      <c r="C8" s="4" t="s">
        <v>197</v>
      </c>
      <c r="D8" s="3" t="s">
        <v>198</v>
      </c>
      <c r="E8" s="5" t="s">
        <v>4</v>
      </c>
      <c r="F8" s="3" t="s">
        <v>199</v>
      </c>
      <c r="G8" s="3" t="s">
        <v>200</v>
      </c>
    </row>
    <row r="9" spans="1:7" ht="79.5" customHeight="1" x14ac:dyDescent="0.3">
      <c r="A9" s="6"/>
      <c r="B9" s="7" t="s">
        <v>178</v>
      </c>
      <c r="C9" s="8" t="s">
        <v>179</v>
      </c>
      <c r="D9" s="9" t="str">
        <f>IFERROR(INDEX(__DATA__!$D$54:$D$57,MATCH(C9,__DATA__!$C$54:$C$57,0)),"Select an option from the dropdown above")</f>
        <v>DETOXIFYING HERBAL TEA: Bring purified water to near boil. Remove from heat and wait 60 seconds. Add 1-2 detox herbal tea bags. Steep 5-7 minutes COVERED - roots and barks need extended steeping to release active compounds. Remove bags WITHOUT squeezing - squeezing releases bitter tannins. Sit somewhere comfortable. No screens if possible. Drink slowly over 10-15 minutes. This is your signal that the day's cleansing work is done.</v>
      </c>
      <c r="E9" s="10" t="str">
        <f>IFERROR(INDEX(__DATA__!$E$54:$E$57,MATCH(C9,__DATA__!$C$54:$C$57,0)),"")</f>
        <v>Best everyday option. Look for dandelion root, burdock, or milk thistle on the label.</v>
      </c>
      <c r="F9" s="11" t="s">
        <v>182</v>
      </c>
      <c r="G9" s="11" t="s">
        <v>185</v>
      </c>
    </row>
    <row r="10" spans="1:7" ht="7.5" customHeight="1" x14ac:dyDescent="0.3">
      <c r="A10" s="1"/>
      <c r="B10" s="1"/>
      <c r="C10" s="1"/>
      <c r="D10" s="1"/>
      <c r="E10" s="1"/>
      <c r="F10" s="1"/>
      <c r="G10" s="1"/>
    </row>
    <row r="11" spans="1:7" ht="10.5" customHeight="1" x14ac:dyDescent="0.3">
      <c r="A11" s="94" t="s">
        <v>201</v>
      </c>
      <c r="B11" s="94"/>
      <c r="C11" s="94"/>
      <c r="D11" s="94"/>
      <c r="E11" s="94"/>
      <c r="F11" s="94"/>
      <c r="G11" s="94"/>
    </row>
    <row r="12" spans="1:7" ht="12" customHeight="1" x14ac:dyDescent="0.3">
      <c r="A12" s="97" t="s">
        <v>202</v>
      </c>
      <c r="B12" s="97"/>
      <c r="C12" s="97"/>
      <c r="D12" s="97"/>
      <c r="E12" s="97"/>
      <c r="F12" s="97"/>
      <c r="G12" s="97"/>
    </row>
    <row r="13" spans="1:7" ht="12.75" customHeight="1" x14ac:dyDescent="0.3">
      <c r="A13" s="91" t="s">
        <v>298</v>
      </c>
      <c r="B13" s="91"/>
      <c r="C13" s="91"/>
      <c r="D13" s="91"/>
      <c r="E13" s="91"/>
      <c r="F13" s="91"/>
      <c r="G13" s="91"/>
    </row>
    <row r="14" spans="1:7" ht="13.5" customHeight="1" x14ac:dyDescent="0.3">
      <c r="A14" s="88" t="s">
        <v>299</v>
      </c>
      <c r="B14" s="88"/>
      <c r="C14" s="88"/>
      <c r="D14" s="88"/>
      <c r="E14" s="88"/>
      <c r="F14" s="88"/>
      <c r="G14" s="88"/>
    </row>
    <row r="15" spans="1:7" ht="15" customHeight="1" x14ac:dyDescent="0.3">
      <c r="A15" s="91" t="s">
        <v>300</v>
      </c>
      <c r="B15" s="91"/>
      <c r="C15" s="91"/>
      <c r="D15" s="91"/>
      <c r="E15" s="91"/>
      <c r="F15" s="91"/>
      <c r="G15" s="91"/>
    </row>
    <row r="16" spans="1:7" ht="15.75" customHeight="1" x14ac:dyDescent="0.3">
      <c r="A16" s="88" t="s">
        <v>301</v>
      </c>
      <c r="B16" s="88"/>
      <c r="C16" s="88"/>
      <c r="D16" s="88"/>
      <c r="E16" s="88"/>
      <c r="F16" s="88"/>
      <c r="G16" s="88"/>
    </row>
    <row r="17" spans="1:7" ht="16.5" customHeight="1" x14ac:dyDescent="0.3">
      <c r="A17" s="91" t="s">
        <v>302</v>
      </c>
      <c r="B17" s="91"/>
      <c r="C17" s="91"/>
      <c r="D17" s="91"/>
      <c r="E17" s="91"/>
      <c r="F17" s="91"/>
      <c r="G17" s="91"/>
    </row>
    <row r="18" spans="1:7" ht="18" customHeight="1" x14ac:dyDescent="0.3">
      <c r="A18" s="88" t="s">
        <v>303</v>
      </c>
      <c r="B18" s="88"/>
      <c r="C18" s="88"/>
      <c r="D18" s="88"/>
      <c r="E18" s="88"/>
      <c r="F18" s="88"/>
      <c r="G18" s="88"/>
    </row>
    <row r="19" spans="1:7" ht="18.75" customHeight="1" x14ac:dyDescent="0.3">
      <c r="A19" s="91" t="s">
        <v>304</v>
      </c>
      <c r="B19" s="91"/>
      <c r="C19" s="91"/>
      <c r="D19" s="91"/>
      <c r="E19" s="91"/>
      <c r="F19" s="91"/>
      <c r="G19" s="91"/>
    </row>
    <row r="20" spans="1:7" ht="19.5" customHeight="1" x14ac:dyDescent="0.3">
      <c r="A20" s="88" t="s">
        <v>305</v>
      </c>
      <c r="B20" s="88"/>
      <c r="C20" s="88"/>
      <c r="D20" s="88"/>
      <c r="E20" s="88"/>
      <c r="F20" s="88"/>
      <c r="G20" s="88"/>
    </row>
    <row r="21" spans="1:7" ht="7.5" customHeight="1" x14ac:dyDescent="0.3">
      <c r="A21" s="1"/>
      <c r="B21" s="1"/>
      <c r="C21" s="1"/>
      <c r="D21" s="1"/>
      <c r="E21" s="1"/>
      <c r="F21" s="1"/>
      <c r="G21" s="1"/>
    </row>
    <row r="22" spans="1:7" ht="21.75" customHeight="1" x14ac:dyDescent="0.3">
      <c r="A22" s="79" t="s">
        <v>211</v>
      </c>
      <c r="B22" s="79"/>
      <c r="C22" s="79"/>
      <c r="D22" s="79"/>
      <c r="E22" s="79"/>
      <c r="F22" s="79"/>
      <c r="G22" s="79"/>
    </row>
    <row r="23" spans="1:7" ht="22.5" customHeight="1" x14ac:dyDescent="0.3">
      <c r="A23" s="82" t="s">
        <v>306</v>
      </c>
      <c r="B23" s="82"/>
      <c r="C23" s="82"/>
      <c r="D23" s="82"/>
      <c r="E23" s="82"/>
      <c r="F23" s="82"/>
      <c r="G23" s="82"/>
    </row>
    <row r="24" spans="1:7" ht="24" customHeight="1" x14ac:dyDescent="0.3">
      <c r="A24" s="82" t="s">
        <v>307</v>
      </c>
      <c r="B24" s="82"/>
      <c r="C24" s="82"/>
      <c r="D24" s="82"/>
      <c r="E24" s="82"/>
      <c r="F24" s="82"/>
      <c r="G24" s="82"/>
    </row>
    <row r="25" spans="1:7" ht="24.75" customHeight="1" x14ac:dyDescent="0.3">
      <c r="A25" s="82" t="s">
        <v>308</v>
      </c>
      <c r="B25" s="82"/>
      <c r="C25" s="82"/>
      <c r="D25" s="82"/>
      <c r="E25" s="82"/>
      <c r="F25" s="82"/>
      <c r="G25" s="82"/>
    </row>
    <row r="26" spans="1:7" ht="25.5" customHeight="1" x14ac:dyDescent="0.3">
      <c r="A26" s="82" t="s">
        <v>309</v>
      </c>
      <c r="B26" s="82"/>
      <c r="C26" s="82"/>
      <c r="D26" s="82"/>
      <c r="E26" s="82"/>
      <c r="F26" s="82"/>
      <c r="G26" s="82"/>
    </row>
    <row r="27" spans="1:7" ht="6" customHeight="1" x14ac:dyDescent="0.3">
      <c r="A27" s="1"/>
      <c r="B27" s="1"/>
      <c r="C27" s="1"/>
      <c r="D27" s="1"/>
      <c r="E27" s="1"/>
      <c r="F27" s="1"/>
      <c r="G27" s="1"/>
    </row>
  </sheetData>
  <mergeCells count="20">
    <mergeCell ref="A1:G1"/>
    <mergeCell ref="A2:G2"/>
    <mergeCell ref="A4:G4"/>
    <mergeCell ref="A5:G5"/>
    <mergeCell ref="A7:G7"/>
    <mergeCell ref="A11:G11"/>
    <mergeCell ref="A12:G12"/>
    <mergeCell ref="A13:G13"/>
    <mergeCell ref="A14:G14"/>
    <mergeCell ref="A15:G15"/>
    <mergeCell ref="A16:G16"/>
    <mergeCell ref="A17:G17"/>
    <mergeCell ref="A18:G18"/>
    <mergeCell ref="A19:G19"/>
    <mergeCell ref="A20:G20"/>
    <mergeCell ref="A22:G22"/>
    <mergeCell ref="A23:G23"/>
    <mergeCell ref="A24:G24"/>
    <mergeCell ref="A25:G25"/>
    <mergeCell ref="A26:G26"/>
  </mergeCells>
  <dataValidations count="1">
    <dataValidation type="list" allowBlank="1" sqref="C9" xr:uid="{00000000-0002-0000-0800-000000000000}">
      <formula1>"Detoxifying Herbal Tea,Chamomile Tea,Dandelion Root Tea,Senna Tea - Evening Only - Use Carefully"</formula1>
      <formula2>0</formula2>
    </dataValidation>
  </dataValidations>
  <printOptions horizontalCentered="1"/>
  <pageMargins left="0.5" right="0.5" top="0.75" bottom="0.7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D6B8C"/>
    <pageSetUpPr fitToPage="1"/>
  </sheetPr>
  <dimension ref="A1:E97"/>
  <sheetViews>
    <sheetView showGridLines="0" tabSelected="1" zoomScaleNormal="100" workbookViewId="0">
      <pane ySplit="4" topLeftCell="A5" activePane="bottomLeft" state="frozen"/>
      <selection pane="bottomLeft" activeCell="A50" sqref="A50"/>
    </sheetView>
  </sheetViews>
  <sheetFormatPr defaultColWidth="8.6640625" defaultRowHeight="14.4" x14ac:dyDescent="0.3"/>
  <cols>
    <col min="1" max="1" width="5" customWidth="1"/>
    <col min="2" max="2" width="35.77734375" bestFit="1" customWidth="1"/>
    <col min="3" max="3" width="62.109375" customWidth="1"/>
    <col min="4" max="4" width="14" customWidth="1"/>
    <col min="5" max="5" width="12" customWidth="1"/>
  </cols>
  <sheetData>
    <row r="1" spans="1:5" ht="15.6" x14ac:dyDescent="0.3">
      <c r="A1" s="139" t="s">
        <v>508</v>
      </c>
      <c r="B1" s="140"/>
      <c r="C1" s="140"/>
      <c r="D1" s="140"/>
      <c r="E1" s="141"/>
    </row>
    <row r="2" spans="1:5" x14ac:dyDescent="0.3">
      <c r="A2" s="142" t="s">
        <v>310</v>
      </c>
      <c r="B2" s="143"/>
      <c r="C2" s="143"/>
      <c r="D2" s="143"/>
      <c r="E2" s="144"/>
    </row>
    <row r="3" spans="1:5" x14ac:dyDescent="0.3">
      <c r="A3" s="63"/>
      <c r="E3" s="64"/>
    </row>
    <row r="4" spans="1:5" ht="27" customHeight="1" x14ac:dyDescent="0.3">
      <c r="A4" s="145" t="s">
        <v>311</v>
      </c>
      <c r="B4" s="146"/>
      <c r="C4" s="146"/>
      <c r="D4" s="146"/>
      <c r="E4" s="147"/>
    </row>
    <row r="5" spans="1:5" x14ac:dyDescent="0.3">
      <c r="A5" s="63"/>
      <c r="E5" s="64"/>
    </row>
    <row r="6" spans="1:5" x14ac:dyDescent="0.3">
      <c r="A6" s="148" t="s">
        <v>312</v>
      </c>
      <c r="B6" s="149"/>
      <c r="C6" s="149"/>
      <c r="D6" s="149"/>
      <c r="E6" s="150"/>
    </row>
    <row r="7" spans="1:5" ht="25.8" customHeight="1" x14ac:dyDescent="0.3">
      <c r="A7" s="115" t="s">
        <v>509</v>
      </c>
      <c r="B7" s="116"/>
      <c r="C7" s="116"/>
      <c r="D7" s="116"/>
      <c r="E7" s="117"/>
    </row>
    <row r="8" spans="1:5" x14ac:dyDescent="0.3">
      <c r="A8" s="65"/>
      <c r="B8" s="14" t="s">
        <v>313</v>
      </c>
      <c r="C8" s="14" t="s">
        <v>314</v>
      </c>
      <c r="D8" s="14" t="s">
        <v>315</v>
      </c>
      <c r="E8" s="59" t="s">
        <v>316</v>
      </c>
    </row>
    <row r="9" spans="1:5" x14ac:dyDescent="0.3">
      <c r="A9" s="66"/>
      <c r="B9" s="133" t="s">
        <v>510</v>
      </c>
      <c r="C9" s="134"/>
      <c r="D9" s="134"/>
      <c r="E9" s="67" t="s">
        <v>317</v>
      </c>
    </row>
    <row r="10" spans="1:5" ht="15" x14ac:dyDescent="0.3">
      <c r="A10" s="68"/>
      <c r="B10" s="60" t="s">
        <v>318</v>
      </c>
      <c r="C10" s="15" t="s">
        <v>319</v>
      </c>
      <c r="D10" s="16"/>
      <c r="E10" s="67" t="s">
        <v>2</v>
      </c>
    </row>
    <row r="11" spans="1:5" ht="15" x14ac:dyDescent="0.3">
      <c r="A11" s="68"/>
      <c r="B11" s="60" t="s">
        <v>320</v>
      </c>
      <c r="C11" s="15" t="s">
        <v>321</v>
      </c>
      <c r="D11" s="16"/>
      <c r="E11" s="67" t="s">
        <v>2</v>
      </c>
    </row>
    <row r="12" spans="1:5" x14ac:dyDescent="0.3">
      <c r="A12" s="42"/>
      <c r="B12" s="1"/>
      <c r="C12" s="1"/>
      <c r="D12" s="1"/>
      <c r="E12" s="43"/>
    </row>
    <row r="13" spans="1:5" x14ac:dyDescent="0.3">
      <c r="A13" s="66"/>
      <c r="B13" s="135" t="s">
        <v>511</v>
      </c>
      <c r="C13" s="134"/>
      <c r="D13" s="134"/>
      <c r="E13" s="67" t="s">
        <v>317</v>
      </c>
    </row>
    <row r="14" spans="1:5" ht="15" x14ac:dyDescent="0.3">
      <c r="A14" s="68"/>
      <c r="B14" s="60" t="s">
        <v>322</v>
      </c>
      <c r="C14" s="15" t="s">
        <v>323</v>
      </c>
      <c r="D14" s="16"/>
      <c r="E14" s="67" t="s">
        <v>2</v>
      </c>
    </row>
    <row r="15" spans="1:5" ht="15" x14ac:dyDescent="0.3">
      <c r="A15" s="68"/>
      <c r="B15" s="60" t="s">
        <v>324</v>
      </c>
      <c r="C15" s="15" t="s">
        <v>325</v>
      </c>
      <c r="D15" s="16"/>
      <c r="E15" s="67" t="s">
        <v>2</v>
      </c>
    </row>
    <row r="16" spans="1:5" x14ac:dyDescent="0.3">
      <c r="A16" s="42"/>
      <c r="B16" s="1"/>
      <c r="C16" s="1"/>
      <c r="D16" s="1"/>
      <c r="E16" s="43"/>
    </row>
    <row r="17" spans="1:5" x14ac:dyDescent="0.3">
      <c r="A17" s="66"/>
      <c r="B17" s="135" t="s">
        <v>512</v>
      </c>
      <c r="C17" s="134"/>
      <c r="D17" s="134"/>
      <c r="E17" s="67" t="s">
        <v>317</v>
      </c>
    </row>
    <row r="18" spans="1:5" ht="15" x14ac:dyDescent="0.3">
      <c r="A18" s="68"/>
      <c r="B18" s="60" t="s">
        <v>326</v>
      </c>
      <c r="C18" s="15" t="s">
        <v>327</v>
      </c>
      <c r="D18" s="16"/>
      <c r="E18" s="67" t="s">
        <v>2</v>
      </c>
    </row>
    <row r="19" spans="1:5" ht="15" x14ac:dyDescent="0.3">
      <c r="A19" s="68"/>
      <c r="B19" s="60" t="s">
        <v>328</v>
      </c>
      <c r="C19" s="15" t="s">
        <v>329</v>
      </c>
      <c r="D19" s="16"/>
      <c r="E19" s="67" t="s">
        <v>2</v>
      </c>
    </row>
    <row r="20" spans="1:5" ht="15" x14ac:dyDescent="0.3">
      <c r="A20" s="68"/>
      <c r="B20" s="60" t="s">
        <v>330</v>
      </c>
      <c r="C20" s="15" t="s">
        <v>331</v>
      </c>
      <c r="D20" s="16"/>
      <c r="E20" s="67" t="s">
        <v>2</v>
      </c>
    </row>
    <row r="21" spans="1:5" x14ac:dyDescent="0.3">
      <c r="A21" s="42"/>
      <c r="B21" s="1"/>
      <c r="C21" s="1"/>
      <c r="D21" s="1"/>
      <c r="E21" s="43"/>
    </row>
    <row r="22" spans="1:5" x14ac:dyDescent="0.3">
      <c r="A22" s="66"/>
      <c r="B22" s="135" t="s">
        <v>513</v>
      </c>
      <c r="C22" s="134"/>
      <c r="D22" s="134"/>
      <c r="E22" s="67" t="s">
        <v>317</v>
      </c>
    </row>
    <row r="23" spans="1:5" ht="15" x14ac:dyDescent="0.3">
      <c r="A23" s="68"/>
      <c r="B23" s="60" t="s">
        <v>332</v>
      </c>
      <c r="C23" s="15" t="s">
        <v>333</v>
      </c>
      <c r="D23" s="16"/>
      <c r="E23" s="67" t="s">
        <v>2</v>
      </c>
    </row>
    <row r="24" spans="1:5" ht="15" x14ac:dyDescent="0.3">
      <c r="A24" s="68"/>
      <c r="B24" s="60" t="s">
        <v>334</v>
      </c>
      <c r="C24" s="15" t="s">
        <v>335</v>
      </c>
      <c r="D24" s="16"/>
      <c r="E24" s="67" t="s">
        <v>2</v>
      </c>
    </row>
    <row r="25" spans="1:5" ht="15" x14ac:dyDescent="0.3">
      <c r="A25" s="68"/>
      <c r="B25" s="60" t="s">
        <v>336</v>
      </c>
      <c r="C25" s="15" t="s">
        <v>337</v>
      </c>
      <c r="D25" s="16"/>
      <c r="E25" s="67" t="s">
        <v>2</v>
      </c>
    </row>
    <row r="26" spans="1:5" x14ac:dyDescent="0.3">
      <c r="A26" s="42"/>
      <c r="B26" s="1"/>
      <c r="C26" s="1"/>
      <c r="D26" s="1"/>
      <c r="E26" s="43"/>
    </row>
    <row r="27" spans="1:5" ht="15" x14ac:dyDescent="0.3">
      <c r="A27" s="68"/>
      <c r="B27" s="61" t="s">
        <v>338</v>
      </c>
      <c r="C27" s="17" t="s">
        <v>339</v>
      </c>
      <c r="D27" s="18"/>
      <c r="E27" s="69" t="s">
        <v>340</v>
      </c>
    </row>
    <row r="28" spans="1:5" ht="22.8" x14ac:dyDescent="0.3">
      <c r="A28" s="68"/>
      <c r="B28" s="62" t="s">
        <v>341</v>
      </c>
      <c r="C28" s="19" t="s">
        <v>342</v>
      </c>
      <c r="D28" s="20"/>
      <c r="E28" s="69" t="s">
        <v>340</v>
      </c>
    </row>
    <row r="29" spans="1:5" ht="15" x14ac:dyDescent="0.3">
      <c r="A29" s="68"/>
      <c r="B29" s="61" t="s">
        <v>343</v>
      </c>
      <c r="C29" s="17" t="s">
        <v>344</v>
      </c>
      <c r="D29" s="18"/>
      <c r="E29" s="69" t="s">
        <v>340</v>
      </c>
    </row>
    <row r="30" spans="1:5" ht="15" x14ac:dyDescent="0.3">
      <c r="A30" s="68"/>
      <c r="B30" s="62" t="s">
        <v>345</v>
      </c>
      <c r="C30" s="19" t="s">
        <v>346</v>
      </c>
      <c r="D30" s="20"/>
      <c r="E30" s="69" t="s">
        <v>340</v>
      </c>
    </row>
    <row r="31" spans="1:5" ht="15" x14ac:dyDescent="0.3">
      <c r="A31" s="68"/>
      <c r="B31" s="61" t="s">
        <v>347</v>
      </c>
      <c r="C31" s="17" t="s">
        <v>348</v>
      </c>
      <c r="D31" s="18"/>
      <c r="E31" s="69" t="s">
        <v>340</v>
      </c>
    </row>
    <row r="32" spans="1:5" ht="15" x14ac:dyDescent="0.3">
      <c r="A32" s="68"/>
      <c r="B32" s="62" t="s">
        <v>349</v>
      </c>
      <c r="C32" s="19" t="s">
        <v>350</v>
      </c>
      <c r="D32" s="20"/>
      <c r="E32" s="69" t="s">
        <v>340</v>
      </c>
    </row>
    <row r="33" spans="1:5" ht="15" x14ac:dyDescent="0.3">
      <c r="A33" s="68"/>
      <c r="B33" s="61" t="s">
        <v>351</v>
      </c>
      <c r="C33" s="17" t="s">
        <v>352</v>
      </c>
      <c r="D33" s="18"/>
      <c r="E33" s="69" t="s">
        <v>340</v>
      </c>
    </row>
    <row r="34" spans="1:5" ht="15" x14ac:dyDescent="0.3">
      <c r="A34" s="68"/>
      <c r="B34" s="62" t="s">
        <v>353</v>
      </c>
      <c r="C34" s="19" t="s">
        <v>354</v>
      </c>
      <c r="D34" s="20"/>
      <c r="E34" s="69" t="s">
        <v>340</v>
      </c>
    </row>
    <row r="35" spans="1:5" x14ac:dyDescent="0.3">
      <c r="A35" s="42"/>
      <c r="B35" s="1"/>
      <c r="C35" s="1"/>
      <c r="D35" s="1"/>
      <c r="E35" s="43"/>
    </row>
    <row r="36" spans="1:5" x14ac:dyDescent="0.3">
      <c r="A36" s="136" t="s">
        <v>355</v>
      </c>
      <c r="B36" s="137"/>
      <c r="C36" s="137"/>
      <c r="D36" s="137"/>
      <c r="E36" s="138"/>
    </row>
    <row r="37" spans="1:5" x14ac:dyDescent="0.3">
      <c r="A37" s="115" t="s">
        <v>356</v>
      </c>
      <c r="B37" s="116"/>
      <c r="C37" s="116"/>
      <c r="D37" s="116"/>
      <c r="E37" s="117"/>
    </row>
    <row r="38" spans="1:5" ht="28.2" customHeight="1" x14ac:dyDescent="0.3">
      <c r="A38" s="124" t="s">
        <v>357</v>
      </c>
      <c r="B38" s="125"/>
      <c r="C38" s="125"/>
      <c r="D38" s="125"/>
      <c r="E38" s="126"/>
    </row>
    <row r="39" spans="1:5" x14ac:dyDescent="0.3">
      <c r="A39" s="70"/>
      <c r="B39" s="21" t="s">
        <v>313</v>
      </c>
      <c r="C39" s="21" t="s">
        <v>314</v>
      </c>
      <c r="D39" s="21" t="s">
        <v>315</v>
      </c>
      <c r="E39" s="45" t="s">
        <v>316</v>
      </c>
    </row>
    <row r="40" spans="1:5" x14ac:dyDescent="0.3">
      <c r="A40" s="127" t="s">
        <v>358</v>
      </c>
      <c r="B40" s="128"/>
      <c r="C40" s="128"/>
      <c r="D40" s="128"/>
      <c r="E40" s="129"/>
    </row>
    <row r="41" spans="1:5" ht="15" x14ac:dyDescent="0.3">
      <c r="A41" s="68"/>
      <c r="B41" s="61" t="s">
        <v>359</v>
      </c>
      <c r="C41" s="17" t="s">
        <v>360</v>
      </c>
      <c r="D41" s="18"/>
      <c r="E41" s="69" t="s">
        <v>5</v>
      </c>
    </row>
    <row r="42" spans="1:5" ht="15" x14ac:dyDescent="0.3">
      <c r="A42" s="68"/>
      <c r="B42" s="62" t="s">
        <v>361</v>
      </c>
      <c r="C42" s="19" t="s">
        <v>362</v>
      </c>
      <c r="D42" s="20"/>
      <c r="E42" s="69" t="s">
        <v>5</v>
      </c>
    </row>
    <row r="43" spans="1:5" ht="15" x14ac:dyDescent="0.3">
      <c r="A43" s="68"/>
      <c r="B43" s="61" t="s">
        <v>363</v>
      </c>
      <c r="C43" s="17" t="s">
        <v>364</v>
      </c>
      <c r="D43" s="18"/>
      <c r="E43" s="69" t="s">
        <v>5</v>
      </c>
    </row>
    <row r="44" spans="1:5" x14ac:dyDescent="0.3">
      <c r="A44" s="42"/>
      <c r="B44" s="1"/>
      <c r="C44" s="1"/>
      <c r="D44" s="1"/>
      <c r="E44" s="43"/>
    </row>
    <row r="45" spans="1:5" x14ac:dyDescent="0.3">
      <c r="A45" s="127" t="s">
        <v>365</v>
      </c>
      <c r="B45" s="128"/>
      <c r="C45" s="128"/>
      <c r="D45" s="128"/>
      <c r="E45" s="129"/>
    </row>
    <row r="46" spans="1:5" ht="15" x14ac:dyDescent="0.3">
      <c r="A46" s="68"/>
      <c r="B46" s="62" t="s">
        <v>366</v>
      </c>
      <c r="C46" s="19" t="s">
        <v>367</v>
      </c>
      <c r="D46" s="20"/>
      <c r="E46" s="69" t="s">
        <v>368</v>
      </c>
    </row>
    <row r="47" spans="1:5" ht="15" x14ac:dyDescent="0.3">
      <c r="A47" s="68"/>
      <c r="B47" s="61" t="s">
        <v>369</v>
      </c>
      <c r="C47" s="17" t="s">
        <v>370</v>
      </c>
      <c r="D47" s="18"/>
      <c r="E47" s="69" t="s">
        <v>368</v>
      </c>
    </row>
    <row r="48" spans="1:5" ht="15" x14ac:dyDescent="0.3">
      <c r="A48" s="68"/>
      <c r="B48" s="62" t="s">
        <v>371</v>
      </c>
      <c r="C48" s="19" t="s">
        <v>372</v>
      </c>
      <c r="D48" s="20"/>
      <c r="E48" s="69" t="s">
        <v>368</v>
      </c>
    </row>
    <row r="49" spans="1:5" ht="15" x14ac:dyDescent="0.3">
      <c r="A49" s="68"/>
      <c r="B49" s="61" t="s">
        <v>373</v>
      </c>
      <c r="C49" s="17" t="s">
        <v>374</v>
      </c>
      <c r="D49" s="18"/>
      <c r="E49" s="69" t="s">
        <v>368</v>
      </c>
    </row>
    <row r="50" spans="1:5" ht="15" x14ac:dyDescent="0.3">
      <c r="A50" s="68"/>
      <c r="B50" s="62" t="s">
        <v>375</v>
      </c>
      <c r="C50" s="19" t="s">
        <v>376</v>
      </c>
      <c r="D50" s="20"/>
      <c r="E50" s="69" t="s">
        <v>368</v>
      </c>
    </row>
    <row r="51" spans="1:5" ht="15" x14ac:dyDescent="0.3">
      <c r="A51" s="68"/>
      <c r="B51" s="61" t="s">
        <v>377</v>
      </c>
      <c r="C51" s="17" t="s">
        <v>378</v>
      </c>
      <c r="D51" s="18"/>
      <c r="E51" s="69" t="s">
        <v>368</v>
      </c>
    </row>
    <row r="52" spans="1:5" ht="15" x14ac:dyDescent="0.3">
      <c r="A52" s="68"/>
      <c r="B52" s="62" t="s">
        <v>379</v>
      </c>
      <c r="C52" s="19" t="s">
        <v>380</v>
      </c>
      <c r="D52" s="20"/>
      <c r="E52" s="69" t="s">
        <v>368</v>
      </c>
    </row>
    <row r="53" spans="1:5" ht="15" x14ac:dyDescent="0.3">
      <c r="A53" s="68"/>
      <c r="B53" s="61" t="s">
        <v>381</v>
      </c>
      <c r="C53" s="17" t="s">
        <v>380</v>
      </c>
      <c r="D53" s="18"/>
      <c r="E53" s="69" t="s">
        <v>368</v>
      </c>
    </row>
    <row r="54" spans="1:5" ht="15" x14ac:dyDescent="0.3">
      <c r="A54" s="68"/>
      <c r="B54" s="62" t="s">
        <v>382</v>
      </c>
      <c r="C54" s="19" t="s">
        <v>383</v>
      </c>
      <c r="D54" s="20"/>
      <c r="E54" s="69" t="s">
        <v>368</v>
      </c>
    </row>
    <row r="55" spans="1:5" ht="15" x14ac:dyDescent="0.3">
      <c r="A55" s="68"/>
      <c r="B55" s="61" t="s">
        <v>384</v>
      </c>
      <c r="C55" s="17" t="s">
        <v>385</v>
      </c>
      <c r="D55" s="18"/>
      <c r="E55" s="69" t="s">
        <v>368</v>
      </c>
    </row>
    <row r="56" spans="1:5" ht="15" x14ac:dyDescent="0.3">
      <c r="A56" s="68"/>
      <c r="B56" s="62" t="s">
        <v>386</v>
      </c>
      <c r="C56" s="19" t="s">
        <v>387</v>
      </c>
      <c r="D56" s="20"/>
      <c r="E56" s="69" t="s">
        <v>368</v>
      </c>
    </row>
    <row r="57" spans="1:5" ht="15" x14ac:dyDescent="0.3">
      <c r="A57" s="68"/>
      <c r="B57" s="61" t="s">
        <v>388</v>
      </c>
      <c r="C57" s="17" t="s">
        <v>389</v>
      </c>
      <c r="D57" s="18"/>
      <c r="E57" s="69" t="s">
        <v>368</v>
      </c>
    </row>
    <row r="58" spans="1:5" ht="15" x14ac:dyDescent="0.3">
      <c r="A58" s="68"/>
      <c r="B58" s="62" t="s">
        <v>390</v>
      </c>
      <c r="C58" s="19" t="s">
        <v>391</v>
      </c>
      <c r="D58" s="20"/>
      <c r="E58" s="69" t="s">
        <v>368</v>
      </c>
    </row>
    <row r="59" spans="1:5" ht="15" x14ac:dyDescent="0.3">
      <c r="A59" s="68"/>
      <c r="B59" s="61" t="s">
        <v>392</v>
      </c>
      <c r="C59" s="17" t="s">
        <v>393</v>
      </c>
      <c r="D59" s="18"/>
      <c r="E59" s="69" t="s">
        <v>368</v>
      </c>
    </row>
    <row r="60" spans="1:5" ht="15" x14ac:dyDescent="0.3">
      <c r="A60" s="68"/>
      <c r="B60" s="62" t="s">
        <v>394</v>
      </c>
      <c r="C60" s="19" t="s">
        <v>395</v>
      </c>
      <c r="D60" s="20"/>
      <c r="E60" s="69" t="s">
        <v>368</v>
      </c>
    </row>
    <row r="61" spans="1:5" ht="15" x14ac:dyDescent="0.3">
      <c r="A61" s="68"/>
      <c r="B61" s="61" t="s">
        <v>396</v>
      </c>
      <c r="C61" s="17" t="s">
        <v>397</v>
      </c>
      <c r="D61" s="18"/>
      <c r="E61" s="69" t="s">
        <v>368</v>
      </c>
    </row>
    <row r="62" spans="1:5" ht="15" x14ac:dyDescent="0.3">
      <c r="A62" s="68"/>
      <c r="B62" s="62" t="s">
        <v>398</v>
      </c>
      <c r="C62" s="19" t="s">
        <v>399</v>
      </c>
      <c r="D62" s="20"/>
      <c r="E62" s="69" t="s">
        <v>368</v>
      </c>
    </row>
    <row r="63" spans="1:5" ht="15" x14ac:dyDescent="0.3">
      <c r="A63" s="68"/>
      <c r="B63" s="61" t="s">
        <v>400</v>
      </c>
      <c r="C63" s="17" t="s">
        <v>401</v>
      </c>
      <c r="D63" s="18"/>
      <c r="E63" s="69" t="s">
        <v>368</v>
      </c>
    </row>
    <row r="64" spans="1:5" ht="15" x14ac:dyDescent="0.3">
      <c r="A64" s="68"/>
      <c r="B64" s="62" t="s">
        <v>402</v>
      </c>
      <c r="C64" s="19" t="s">
        <v>403</v>
      </c>
      <c r="D64" s="20"/>
      <c r="E64" s="69" t="s">
        <v>368</v>
      </c>
    </row>
    <row r="65" spans="1:5" ht="15" x14ac:dyDescent="0.3">
      <c r="A65" s="68"/>
      <c r="B65" s="61" t="s">
        <v>404</v>
      </c>
      <c r="C65" s="17" t="s">
        <v>405</v>
      </c>
      <c r="D65" s="18"/>
      <c r="E65" s="69" t="s">
        <v>368</v>
      </c>
    </row>
    <row r="66" spans="1:5" ht="15" x14ac:dyDescent="0.3">
      <c r="A66" s="68"/>
      <c r="B66" s="62" t="s">
        <v>406</v>
      </c>
      <c r="C66" s="19" t="s">
        <v>407</v>
      </c>
      <c r="D66" s="20"/>
      <c r="E66" s="69" t="s">
        <v>368</v>
      </c>
    </row>
    <row r="67" spans="1:5" ht="15" x14ac:dyDescent="0.3">
      <c r="A67" s="68"/>
      <c r="B67" s="61" t="s">
        <v>408</v>
      </c>
      <c r="C67" s="17" t="s">
        <v>409</v>
      </c>
      <c r="D67" s="18"/>
      <c r="E67" s="69" t="s">
        <v>368</v>
      </c>
    </row>
    <row r="68" spans="1:5" x14ac:dyDescent="0.3">
      <c r="A68" s="42"/>
      <c r="B68" s="1"/>
      <c r="C68" s="1"/>
      <c r="D68" s="1"/>
      <c r="E68" s="43"/>
    </row>
    <row r="69" spans="1:5" x14ac:dyDescent="0.3">
      <c r="A69" s="130" t="s">
        <v>410</v>
      </c>
      <c r="B69" s="131"/>
      <c r="C69" s="131"/>
      <c r="D69" s="131"/>
      <c r="E69" s="132"/>
    </row>
    <row r="70" spans="1:5" x14ac:dyDescent="0.3">
      <c r="A70" s="115" t="s">
        <v>411</v>
      </c>
      <c r="B70" s="116"/>
      <c r="C70" s="116"/>
      <c r="D70" s="116"/>
      <c r="E70" s="117"/>
    </row>
    <row r="71" spans="1:5" x14ac:dyDescent="0.3">
      <c r="A71" s="71"/>
      <c r="B71" s="22" t="s">
        <v>313</v>
      </c>
      <c r="C71" s="22" t="s">
        <v>314</v>
      </c>
      <c r="D71" s="22" t="s">
        <v>315</v>
      </c>
      <c r="E71" s="72" t="s">
        <v>316</v>
      </c>
    </row>
    <row r="72" spans="1:5" ht="15" x14ac:dyDescent="0.3">
      <c r="A72" s="68"/>
      <c r="B72" s="62" t="s">
        <v>412</v>
      </c>
      <c r="C72" s="19" t="s">
        <v>413</v>
      </c>
      <c r="D72" s="20"/>
      <c r="E72" s="69" t="s">
        <v>414</v>
      </c>
    </row>
    <row r="73" spans="1:5" ht="15" x14ac:dyDescent="0.3">
      <c r="A73" s="68"/>
      <c r="B73" s="61" t="s">
        <v>415</v>
      </c>
      <c r="C73" s="17" t="s">
        <v>416</v>
      </c>
      <c r="D73" s="18"/>
      <c r="E73" s="69" t="s">
        <v>414</v>
      </c>
    </row>
    <row r="74" spans="1:5" ht="15" x14ac:dyDescent="0.3">
      <c r="A74" s="68"/>
      <c r="B74" s="62" t="s">
        <v>417</v>
      </c>
      <c r="C74" s="19" t="s">
        <v>418</v>
      </c>
      <c r="D74" s="20"/>
      <c r="E74" s="69" t="s">
        <v>414</v>
      </c>
    </row>
    <row r="75" spans="1:5" ht="15" x14ac:dyDescent="0.3">
      <c r="A75" s="68"/>
      <c r="B75" s="61" t="s">
        <v>419</v>
      </c>
      <c r="C75" s="17" t="s">
        <v>420</v>
      </c>
      <c r="D75" s="18"/>
      <c r="E75" s="69" t="s">
        <v>414</v>
      </c>
    </row>
    <row r="76" spans="1:5" ht="15" x14ac:dyDescent="0.3">
      <c r="A76" s="68"/>
      <c r="B76" s="62" t="s">
        <v>421</v>
      </c>
      <c r="C76" s="19" t="s">
        <v>422</v>
      </c>
      <c r="D76" s="20"/>
      <c r="E76" s="69" t="s">
        <v>414</v>
      </c>
    </row>
    <row r="77" spans="1:5" ht="15" x14ac:dyDescent="0.3">
      <c r="A77" s="68"/>
      <c r="B77" s="61" t="s">
        <v>423</v>
      </c>
      <c r="C77" s="17" t="s">
        <v>424</v>
      </c>
      <c r="D77" s="18"/>
      <c r="E77" s="69" t="s">
        <v>414</v>
      </c>
    </row>
    <row r="78" spans="1:5" ht="15" x14ac:dyDescent="0.3">
      <c r="A78" s="68"/>
      <c r="B78" s="62" t="s">
        <v>425</v>
      </c>
      <c r="C78" s="19" t="s">
        <v>426</v>
      </c>
      <c r="D78" s="20"/>
      <c r="E78" s="69" t="s">
        <v>414</v>
      </c>
    </row>
    <row r="79" spans="1:5" ht="15" x14ac:dyDescent="0.3">
      <c r="A79" s="68"/>
      <c r="B79" s="61" t="s">
        <v>427</v>
      </c>
      <c r="C79" s="17" t="s">
        <v>428</v>
      </c>
      <c r="D79" s="18"/>
      <c r="E79" s="69" t="s">
        <v>414</v>
      </c>
    </row>
    <row r="80" spans="1:5" ht="15" x14ac:dyDescent="0.3">
      <c r="A80" s="68"/>
      <c r="B80" s="62" t="s">
        <v>429</v>
      </c>
      <c r="C80" s="19" t="s">
        <v>430</v>
      </c>
      <c r="D80" s="20"/>
      <c r="E80" s="69" t="s">
        <v>414</v>
      </c>
    </row>
    <row r="81" spans="1:5" ht="15" x14ac:dyDescent="0.3">
      <c r="A81" s="68"/>
      <c r="B81" s="61" t="s">
        <v>431</v>
      </c>
      <c r="C81" s="17" t="s">
        <v>432</v>
      </c>
      <c r="D81" s="18"/>
      <c r="E81" s="69" t="s">
        <v>414</v>
      </c>
    </row>
    <row r="82" spans="1:5" ht="15" x14ac:dyDescent="0.3">
      <c r="A82" s="68"/>
      <c r="B82" s="62" t="s">
        <v>185</v>
      </c>
      <c r="C82" s="19" t="s">
        <v>433</v>
      </c>
      <c r="D82" s="20"/>
      <c r="E82" s="69" t="s">
        <v>414</v>
      </c>
    </row>
    <row r="83" spans="1:5" ht="15" x14ac:dyDescent="0.3">
      <c r="A83" s="68"/>
      <c r="B83" s="61" t="s">
        <v>182</v>
      </c>
      <c r="C83" s="17" t="s">
        <v>434</v>
      </c>
      <c r="D83" s="18"/>
      <c r="E83" s="69" t="s">
        <v>414</v>
      </c>
    </row>
    <row r="84" spans="1:5" ht="15" x14ac:dyDescent="0.3">
      <c r="A84" s="68"/>
      <c r="B84" s="62" t="s">
        <v>435</v>
      </c>
      <c r="C84" s="19" t="s">
        <v>436</v>
      </c>
      <c r="D84" s="20"/>
      <c r="E84" s="69" t="s">
        <v>414</v>
      </c>
    </row>
    <row r="85" spans="1:5" x14ac:dyDescent="0.3">
      <c r="A85" s="42"/>
      <c r="B85" s="1"/>
      <c r="C85" s="1"/>
      <c r="D85" s="1"/>
      <c r="E85" s="43"/>
    </row>
    <row r="86" spans="1:5" x14ac:dyDescent="0.3">
      <c r="A86" s="118" t="s">
        <v>437</v>
      </c>
      <c r="B86" s="119"/>
      <c r="C86" s="119"/>
      <c r="D86" s="119"/>
      <c r="E86" s="120"/>
    </row>
    <row r="87" spans="1:5" x14ac:dyDescent="0.3">
      <c r="A87" s="115" t="s">
        <v>438</v>
      </c>
      <c r="B87" s="116"/>
      <c r="C87" s="116"/>
      <c r="D87" s="116"/>
      <c r="E87" s="117"/>
    </row>
    <row r="88" spans="1:5" x14ac:dyDescent="0.3">
      <c r="A88" s="73"/>
      <c r="B88" s="23" t="s">
        <v>313</v>
      </c>
      <c r="C88" s="23" t="s">
        <v>314</v>
      </c>
      <c r="D88" s="23" t="s">
        <v>315</v>
      </c>
      <c r="E88" s="74" t="s">
        <v>316</v>
      </c>
    </row>
    <row r="89" spans="1:5" ht="22.8" x14ac:dyDescent="0.3">
      <c r="A89" s="68"/>
      <c r="B89" s="61" t="s">
        <v>439</v>
      </c>
      <c r="C89" s="17" t="s">
        <v>440</v>
      </c>
      <c r="D89" s="18"/>
      <c r="E89" s="69" t="s">
        <v>441</v>
      </c>
    </row>
    <row r="90" spans="1:5" ht="15" x14ac:dyDescent="0.3">
      <c r="A90" s="68"/>
      <c r="B90" s="62" t="s">
        <v>442</v>
      </c>
      <c r="C90" s="19" t="s">
        <v>443</v>
      </c>
      <c r="D90" s="20"/>
      <c r="E90" s="69" t="s">
        <v>441</v>
      </c>
    </row>
    <row r="91" spans="1:5" ht="15" x14ac:dyDescent="0.3">
      <c r="A91" s="68"/>
      <c r="B91" s="61" t="s">
        <v>444</v>
      </c>
      <c r="C91" s="17" t="s">
        <v>445</v>
      </c>
      <c r="D91" s="18"/>
      <c r="E91" s="69" t="s">
        <v>441</v>
      </c>
    </row>
    <row r="92" spans="1:5" ht="22.8" x14ac:dyDescent="0.3">
      <c r="A92" s="68"/>
      <c r="B92" s="62" t="s">
        <v>446</v>
      </c>
      <c r="C92" s="19" t="s">
        <v>447</v>
      </c>
      <c r="D92" s="20"/>
      <c r="E92" s="69" t="s">
        <v>441</v>
      </c>
    </row>
    <row r="93" spans="1:5" ht="22.8" x14ac:dyDescent="0.3">
      <c r="A93" s="68"/>
      <c r="B93" s="61" t="s">
        <v>448</v>
      </c>
      <c r="C93" s="17" t="s">
        <v>449</v>
      </c>
      <c r="D93" s="18"/>
      <c r="E93" s="69" t="s">
        <v>441</v>
      </c>
    </row>
    <row r="94" spans="1:5" ht="15" x14ac:dyDescent="0.3">
      <c r="A94" s="68"/>
      <c r="B94" s="62" t="s">
        <v>450</v>
      </c>
      <c r="C94" s="19" t="s">
        <v>451</v>
      </c>
      <c r="D94" s="20"/>
      <c r="E94" s="69" t="s">
        <v>441</v>
      </c>
    </row>
    <row r="95" spans="1:5" ht="15" x14ac:dyDescent="0.3">
      <c r="A95" s="68"/>
      <c r="B95" s="61" t="s">
        <v>452</v>
      </c>
      <c r="C95" s="17" t="s">
        <v>453</v>
      </c>
      <c r="D95" s="18"/>
      <c r="E95" s="69" t="s">
        <v>441</v>
      </c>
    </row>
    <row r="96" spans="1:5" x14ac:dyDescent="0.3">
      <c r="A96" s="42"/>
      <c r="B96" s="1"/>
      <c r="C96" s="1"/>
      <c r="D96" s="1"/>
      <c r="E96" s="43"/>
    </row>
    <row r="97" spans="1:5" x14ac:dyDescent="0.3">
      <c r="A97" s="121" t="s">
        <v>454</v>
      </c>
      <c r="B97" s="122"/>
      <c r="C97" s="122"/>
      <c r="D97" s="122"/>
      <c r="E97" s="123"/>
    </row>
  </sheetData>
  <mergeCells count="19">
    <mergeCell ref="A1:E1"/>
    <mergeCell ref="A2:E2"/>
    <mergeCell ref="A4:E4"/>
    <mergeCell ref="A6:E6"/>
    <mergeCell ref="A7:E7"/>
    <mergeCell ref="B9:D9"/>
    <mergeCell ref="B13:D13"/>
    <mergeCell ref="B17:D17"/>
    <mergeCell ref="B22:D22"/>
    <mergeCell ref="A36:E36"/>
    <mergeCell ref="A70:E70"/>
    <mergeCell ref="A86:E86"/>
    <mergeCell ref="A87:E87"/>
    <mergeCell ref="A97:E97"/>
    <mergeCell ref="A37:E37"/>
    <mergeCell ref="A38:E38"/>
    <mergeCell ref="A40:E40"/>
    <mergeCell ref="A45:E45"/>
    <mergeCell ref="A69:E69"/>
  </mergeCells>
  <printOptions horizontalCentered="1"/>
  <pageMargins left="0.5" right="0.5"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D6A4F"/>
    <pageSetUpPr fitToPage="1"/>
  </sheetPr>
  <dimension ref="A1:K48"/>
  <sheetViews>
    <sheetView showGridLines="0" zoomScaleNormal="100" workbookViewId="0">
      <pane ySplit="2" topLeftCell="A3" activePane="bottomLeft" state="frozen"/>
      <selection pane="bottomLeft" sqref="A1:K1"/>
    </sheetView>
  </sheetViews>
  <sheetFormatPr defaultColWidth="8.6640625" defaultRowHeight="14.4" x14ac:dyDescent="0.3"/>
  <cols>
    <col min="1" max="1" width="3" customWidth="1"/>
    <col min="2" max="2" width="30" customWidth="1"/>
    <col min="3" max="10" width="13" customWidth="1"/>
    <col min="11" max="11" width="16" customWidth="1"/>
  </cols>
  <sheetData>
    <row r="1" spans="1:11" ht="16.8" x14ac:dyDescent="0.3">
      <c r="A1" s="99" t="s">
        <v>455</v>
      </c>
      <c r="B1" s="100"/>
      <c r="C1" s="100"/>
      <c r="D1" s="100"/>
      <c r="E1" s="100"/>
      <c r="F1" s="100"/>
      <c r="G1" s="100"/>
      <c r="H1" s="100"/>
      <c r="I1" s="100"/>
      <c r="J1" s="100"/>
      <c r="K1" s="101"/>
    </row>
    <row r="2" spans="1:11" x14ac:dyDescent="0.3">
      <c r="A2" s="102" t="s">
        <v>456</v>
      </c>
      <c r="B2" s="103"/>
      <c r="C2" s="103"/>
      <c r="D2" s="103"/>
      <c r="E2" s="103"/>
      <c r="F2" s="103"/>
      <c r="G2" s="103"/>
      <c r="H2" s="103"/>
      <c r="I2" s="103"/>
      <c r="J2" s="103"/>
      <c r="K2" s="104"/>
    </row>
    <row r="3" spans="1:11" x14ac:dyDescent="0.3">
      <c r="A3" s="42"/>
      <c r="B3" s="1"/>
      <c r="C3" s="1"/>
      <c r="D3" s="1"/>
      <c r="E3" s="1"/>
      <c r="F3" s="1"/>
      <c r="G3" s="1"/>
      <c r="H3" s="1"/>
      <c r="I3" s="1"/>
      <c r="J3" s="1"/>
      <c r="K3" s="43"/>
    </row>
    <row r="4" spans="1:11" x14ac:dyDescent="0.3">
      <c r="A4" s="111" t="s">
        <v>457</v>
      </c>
      <c r="B4" s="112"/>
      <c r="C4" s="112"/>
      <c r="D4" s="112"/>
      <c r="E4" s="112"/>
      <c r="F4" s="112"/>
      <c r="G4" s="112"/>
      <c r="H4" s="112"/>
      <c r="I4" s="112"/>
      <c r="J4" s="112"/>
      <c r="K4" s="113"/>
    </row>
    <row r="5" spans="1:11" x14ac:dyDescent="0.3">
      <c r="A5" s="44"/>
      <c r="B5" s="24" t="s">
        <v>458</v>
      </c>
      <c r="C5" s="21" t="s">
        <v>459</v>
      </c>
      <c r="D5" s="21" t="s">
        <v>460</v>
      </c>
      <c r="E5" s="21" t="s">
        <v>461</v>
      </c>
      <c r="F5" s="21" t="s">
        <v>462</v>
      </c>
      <c r="G5" s="21" t="s">
        <v>463</v>
      </c>
      <c r="H5" s="21" t="s">
        <v>464</v>
      </c>
      <c r="I5" s="21" t="s">
        <v>465</v>
      </c>
      <c r="J5" s="21" t="s">
        <v>466</v>
      </c>
      <c r="K5" s="45" t="s">
        <v>467</v>
      </c>
    </row>
    <row r="6" spans="1:11" x14ac:dyDescent="0.3">
      <c r="A6" s="46"/>
      <c r="B6" s="25" t="s">
        <v>468</v>
      </c>
      <c r="C6" s="26"/>
      <c r="D6" s="26"/>
      <c r="E6" s="26"/>
      <c r="F6" s="26"/>
      <c r="G6" s="26"/>
      <c r="H6" s="26"/>
      <c r="I6" s="26"/>
      <c r="J6" s="27" t="str">
        <f t="shared" ref="J6:J12" si="0">IFERROR(IF(AND(I6&lt;&gt;"",C6&lt;&gt;""),I6-C6,""),"--")</f>
        <v/>
      </c>
      <c r="K6" s="47"/>
    </row>
    <row r="7" spans="1:11" x14ac:dyDescent="0.3">
      <c r="A7" s="42"/>
      <c r="B7" s="28" t="s">
        <v>469</v>
      </c>
      <c r="C7" s="26"/>
      <c r="D7" s="26"/>
      <c r="E7" s="26"/>
      <c r="F7" s="26"/>
      <c r="G7" s="26"/>
      <c r="H7" s="26"/>
      <c r="I7" s="26"/>
      <c r="J7" s="27" t="str">
        <f t="shared" si="0"/>
        <v/>
      </c>
      <c r="K7" s="48"/>
    </row>
    <row r="8" spans="1:11" x14ac:dyDescent="0.3">
      <c r="A8" s="46"/>
      <c r="B8" s="25" t="s">
        <v>470</v>
      </c>
      <c r="C8" s="26"/>
      <c r="D8" s="26"/>
      <c r="E8" s="26"/>
      <c r="F8" s="26"/>
      <c r="G8" s="26"/>
      <c r="H8" s="26"/>
      <c r="I8" s="26"/>
      <c r="J8" s="27" t="str">
        <f t="shared" si="0"/>
        <v/>
      </c>
      <c r="K8" s="47"/>
    </row>
    <row r="9" spans="1:11" x14ac:dyDescent="0.3">
      <c r="A9" s="42"/>
      <c r="B9" s="28" t="s">
        <v>471</v>
      </c>
      <c r="C9" s="26"/>
      <c r="D9" s="26"/>
      <c r="E9" s="26"/>
      <c r="F9" s="26"/>
      <c r="G9" s="26"/>
      <c r="H9" s="26"/>
      <c r="I9" s="26"/>
      <c r="J9" s="27" t="str">
        <f t="shared" si="0"/>
        <v/>
      </c>
      <c r="K9" s="48"/>
    </row>
    <row r="10" spans="1:11" x14ac:dyDescent="0.3">
      <c r="A10" s="46"/>
      <c r="B10" s="25" t="s">
        <v>472</v>
      </c>
      <c r="C10" s="26"/>
      <c r="D10" s="26"/>
      <c r="E10" s="26"/>
      <c r="F10" s="26"/>
      <c r="G10" s="26"/>
      <c r="H10" s="26"/>
      <c r="I10" s="26"/>
      <c r="J10" s="27" t="str">
        <f t="shared" si="0"/>
        <v/>
      </c>
      <c r="K10" s="47"/>
    </row>
    <row r="11" spans="1:11" x14ac:dyDescent="0.3">
      <c r="A11" s="42"/>
      <c r="B11" s="28" t="s">
        <v>473</v>
      </c>
      <c r="C11" s="26"/>
      <c r="D11" s="26"/>
      <c r="E11" s="26"/>
      <c r="F11" s="26"/>
      <c r="G11" s="26"/>
      <c r="H11" s="26"/>
      <c r="I11" s="26"/>
      <c r="J11" s="27" t="str">
        <f t="shared" si="0"/>
        <v/>
      </c>
      <c r="K11" s="48"/>
    </row>
    <row r="12" spans="1:11" x14ac:dyDescent="0.3">
      <c r="A12" s="46"/>
      <c r="B12" s="25" t="s">
        <v>474</v>
      </c>
      <c r="C12" s="26"/>
      <c r="D12" s="26"/>
      <c r="E12" s="26"/>
      <c r="F12" s="26"/>
      <c r="G12" s="26"/>
      <c r="H12" s="26"/>
      <c r="I12" s="26"/>
      <c r="J12" s="27" t="str">
        <f t="shared" si="0"/>
        <v/>
      </c>
      <c r="K12" s="47"/>
    </row>
    <row r="13" spans="1:11" x14ac:dyDescent="0.3">
      <c r="A13" s="42"/>
      <c r="B13" s="1"/>
      <c r="C13" s="1"/>
      <c r="D13" s="1"/>
      <c r="E13" s="1"/>
      <c r="F13" s="1"/>
      <c r="G13" s="1"/>
      <c r="H13" s="1"/>
      <c r="I13" s="1"/>
      <c r="J13" s="1"/>
      <c r="K13" s="43"/>
    </row>
    <row r="14" spans="1:11" x14ac:dyDescent="0.3">
      <c r="A14" s="163" t="s">
        <v>475</v>
      </c>
      <c r="B14" s="164"/>
      <c r="C14" s="164"/>
      <c r="D14" s="164"/>
      <c r="E14" s="164"/>
      <c r="F14" s="164"/>
      <c r="G14" s="164"/>
      <c r="H14" s="164"/>
      <c r="I14" s="164"/>
      <c r="J14" s="164"/>
      <c r="K14" s="165"/>
    </row>
    <row r="15" spans="1:11" x14ac:dyDescent="0.3">
      <c r="A15" s="49"/>
      <c r="B15" s="22"/>
      <c r="C15" s="22" t="s">
        <v>459</v>
      </c>
      <c r="D15" s="22" t="s">
        <v>460</v>
      </c>
      <c r="E15" s="22" t="s">
        <v>461</v>
      </c>
      <c r="F15" s="22" t="s">
        <v>462</v>
      </c>
      <c r="G15" s="22" t="s">
        <v>463</v>
      </c>
      <c r="H15" s="22" t="s">
        <v>464</v>
      </c>
      <c r="I15" s="22" t="s">
        <v>465</v>
      </c>
      <c r="J15" s="22" t="s">
        <v>476</v>
      </c>
      <c r="K15" s="50"/>
    </row>
    <row r="16" spans="1:11" x14ac:dyDescent="0.3">
      <c r="A16" s="51"/>
      <c r="B16" s="29" t="s">
        <v>477</v>
      </c>
      <c r="C16" s="30"/>
      <c r="D16" s="30"/>
      <c r="E16" s="30"/>
      <c r="F16" s="30"/>
      <c r="G16" s="30"/>
      <c r="H16" s="30"/>
      <c r="I16" s="30"/>
      <c r="J16" s="31" t="str">
        <f>IFERROR(ROUND(AVERAGE(C16:I16),1),"--")</f>
        <v>--</v>
      </c>
      <c r="K16" s="52"/>
    </row>
    <row r="17" spans="1:11" x14ac:dyDescent="0.3">
      <c r="A17" s="42"/>
      <c r="B17" s="1"/>
      <c r="C17" s="1"/>
      <c r="D17" s="1"/>
      <c r="E17" s="1"/>
      <c r="F17" s="1"/>
      <c r="G17" s="1"/>
      <c r="H17" s="1"/>
      <c r="I17" s="1"/>
      <c r="J17" s="1"/>
      <c r="K17" s="43"/>
    </row>
    <row r="18" spans="1:11" x14ac:dyDescent="0.3">
      <c r="A18" s="93" t="s">
        <v>478</v>
      </c>
      <c r="B18" s="94"/>
      <c r="C18" s="94"/>
      <c r="D18" s="94"/>
      <c r="E18" s="94"/>
      <c r="F18" s="94"/>
      <c r="G18" s="94"/>
      <c r="H18" s="94"/>
      <c r="I18" s="94"/>
      <c r="J18" s="94"/>
      <c r="K18" s="95"/>
    </row>
    <row r="19" spans="1:11" x14ac:dyDescent="0.3">
      <c r="A19" s="53"/>
      <c r="B19" s="32" t="s">
        <v>479</v>
      </c>
      <c r="C19" s="14" t="s">
        <v>459</v>
      </c>
      <c r="D19" s="14" t="s">
        <v>460</v>
      </c>
      <c r="E19" s="14" t="s">
        <v>461</v>
      </c>
      <c r="F19" s="14" t="s">
        <v>462</v>
      </c>
      <c r="G19" s="14" t="s">
        <v>463</v>
      </c>
      <c r="H19" s="14" t="s">
        <v>464</v>
      </c>
      <c r="I19" s="14" t="s">
        <v>465</v>
      </c>
      <c r="J19" s="14" t="s">
        <v>480</v>
      </c>
      <c r="K19" s="54"/>
    </row>
    <row r="20" spans="1:11" x14ac:dyDescent="0.3">
      <c r="A20" s="46"/>
      <c r="B20" s="33" t="s">
        <v>481</v>
      </c>
      <c r="C20" s="34"/>
      <c r="D20" s="34"/>
      <c r="E20" s="34"/>
      <c r="F20" s="34"/>
      <c r="G20" s="34"/>
      <c r="H20" s="34"/>
      <c r="I20" s="34"/>
      <c r="J20" s="35" t="str">
        <f t="shared" ref="J20:J27" si="1">IFERROR(IF(I20="","",IF(I20&gt;C20,"Up - Improving",IF(I20&lt;C20,"Down - Declining","Same"))),"--")</f>
        <v/>
      </c>
      <c r="K20" s="55"/>
    </row>
    <row r="21" spans="1:11" x14ac:dyDescent="0.3">
      <c r="A21" s="42"/>
      <c r="B21" s="37" t="s">
        <v>482</v>
      </c>
      <c r="C21" s="34"/>
      <c r="D21" s="34"/>
      <c r="E21" s="34"/>
      <c r="F21" s="34"/>
      <c r="G21" s="34"/>
      <c r="H21" s="34"/>
      <c r="I21" s="34"/>
      <c r="J21" s="35" t="str">
        <f t="shared" si="1"/>
        <v/>
      </c>
      <c r="K21" s="56"/>
    </row>
    <row r="22" spans="1:11" x14ac:dyDescent="0.3">
      <c r="A22" s="46"/>
      <c r="B22" s="33" t="s">
        <v>483</v>
      </c>
      <c r="C22" s="34"/>
      <c r="D22" s="34"/>
      <c r="E22" s="34"/>
      <c r="F22" s="34"/>
      <c r="G22" s="34"/>
      <c r="H22" s="34"/>
      <c r="I22" s="34"/>
      <c r="J22" s="35" t="str">
        <f t="shared" si="1"/>
        <v/>
      </c>
      <c r="K22" s="55"/>
    </row>
    <row r="23" spans="1:11" x14ac:dyDescent="0.3">
      <c r="A23" s="42"/>
      <c r="B23" s="37" t="s">
        <v>484</v>
      </c>
      <c r="C23" s="34"/>
      <c r="D23" s="34"/>
      <c r="E23" s="34"/>
      <c r="F23" s="34"/>
      <c r="G23" s="34"/>
      <c r="H23" s="34"/>
      <c r="I23" s="34"/>
      <c r="J23" s="35" t="str">
        <f t="shared" si="1"/>
        <v/>
      </c>
      <c r="K23" s="56"/>
    </row>
    <row r="24" spans="1:11" x14ac:dyDescent="0.3">
      <c r="A24" s="46"/>
      <c r="B24" s="33" t="s">
        <v>485</v>
      </c>
      <c r="C24" s="34"/>
      <c r="D24" s="34"/>
      <c r="E24" s="34"/>
      <c r="F24" s="34"/>
      <c r="G24" s="34"/>
      <c r="H24" s="34"/>
      <c r="I24" s="34"/>
      <c r="J24" s="35" t="str">
        <f t="shared" si="1"/>
        <v/>
      </c>
      <c r="K24" s="55"/>
    </row>
    <row r="25" spans="1:11" x14ac:dyDescent="0.3">
      <c r="A25" s="42"/>
      <c r="B25" s="37" t="s">
        <v>486</v>
      </c>
      <c r="C25" s="34"/>
      <c r="D25" s="34"/>
      <c r="E25" s="34"/>
      <c r="F25" s="34"/>
      <c r="G25" s="34"/>
      <c r="H25" s="34"/>
      <c r="I25" s="34"/>
      <c r="J25" s="35" t="str">
        <f t="shared" si="1"/>
        <v/>
      </c>
      <c r="K25" s="56"/>
    </row>
    <row r="26" spans="1:11" x14ac:dyDescent="0.3">
      <c r="A26" s="46"/>
      <c r="B26" s="33" t="s">
        <v>487</v>
      </c>
      <c r="C26" s="34"/>
      <c r="D26" s="34"/>
      <c r="E26" s="34"/>
      <c r="F26" s="34"/>
      <c r="G26" s="34"/>
      <c r="H26" s="34"/>
      <c r="I26" s="34"/>
      <c r="J26" s="35" t="str">
        <f t="shared" si="1"/>
        <v/>
      </c>
      <c r="K26" s="55"/>
    </row>
    <row r="27" spans="1:11" x14ac:dyDescent="0.3">
      <c r="A27" s="42"/>
      <c r="B27" s="37" t="s">
        <v>488</v>
      </c>
      <c r="C27" s="34"/>
      <c r="D27" s="34"/>
      <c r="E27" s="34"/>
      <c r="F27" s="34"/>
      <c r="G27" s="34"/>
      <c r="H27" s="34"/>
      <c r="I27" s="34"/>
      <c r="J27" s="35" t="str">
        <f t="shared" si="1"/>
        <v/>
      </c>
      <c r="K27" s="56"/>
    </row>
    <row r="28" spans="1:11" x14ac:dyDescent="0.3">
      <c r="A28" s="42"/>
      <c r="B28" s="1"/>
      <c r="C28" s="1"/>
      <c r="D28" s="1"/>
      <c r="E28" s="1"/>
      <c r="F28" s="1"/>
      <c r="G28" s="1"/>
      <c r="H28" s="1"/>
      <c r="I28" s="1"/>
      <c r="J28" s="1"/>
      <c r="K28" s="43"/>
    </row>
    <row r="29" spans="1:11" x14ac:dyDescent="0.3">
      <c r="A29" s="111" t="s">
        <v>489</v>
      </c>
      <c r="B29" s="112"/>
      <c r="C29" s="112"/>
      <c r="D29" s="112"/>
      <c r="E29" s="112"/>
      <c r="F29" s="112"/>
      <c r="G29" s="112"/>
      <c r="H29" s="112"/>
      <c r="I29" s="112"/>
      <c r="J29" s="112"/>
      <c r="K29" s="113"/>
    </row>
    <row r="30" spans="1:11" x14ac:dyDescent="0.3">
      <c r="A30" s="44"/>
      <c r="B30" s="24" t="s">
        <v>490</v>
      </c>
      <c r="C30" s="21" t="s">
        <v>459</v>
      </c>
      <c r="D30" s="21" t="s">
        <v>460</v>
      </c>
      <c r="E30" s="21" t="s">
        <v>461</v>
      </c>
      <c r="F30" s="21" t="s">
        <v>462</v>
      </c>
      <c r="G30" s="21" t="s">
        <v>463</v>
      </c>
      <c r="H30" s="21" t="s">
        <v>464</v>
      </c>
      <c r="I30" s="21" t="s">
        <v>465</v>
      </c>
      <c r="J30" s="57"/>
      <c r="K30" s="58"/>
    </row>
    <row r="31" spans="1:11" x14ac:dyDescent="0.3">
      <c r="A31" s="46"/>
      <c r="B31" s="39" t="s">
        <v>491</v>
      </c>
      <c r="C31" s="40"/>
      <c r="D31" s="40"/>
      <c r="E31" s="40"/>
      <c r="F31" s="40"/>
      <c r="G31" s="40"/>
      <c r="H31" s="40"/>
      <c r="I31" s="40"/>
      <c r="J31" s="36"/>
      <c r="K31" s="55"/>
    </row>
    <row r="32" spans="1:11" x14ac:dyDescent="0.3">
      <c r="A32" s="42"/>
      <c r="B32" s="41" t="s">
        <v>492</v>
      </c>
      <c r="C32" s="40"/>
      <c r="D32" s="40"/>
      <c r="E32" s="40"/>
      <c r="F32" s="40"/>
      <c r="G32" s="40"/>
      <c r="H32" s="40"/>
      <c r="I32" s="40"/>
      <c r="J32" s="38"/>
      <c r="K32" s="56"/>
    </row>
    <row r="33" spans="1:11" ht="22.8" x14ac:dyDescent="0.3">
      <c r="A33" s="46"/>
      <c r="B33" s="39" t="s">
        <v>493</v>
      </c>
      <c r="C33" s="40"/>
      <c r="D33" s="40"/>
      <c r="E33" s="40"/>
      <c r="F33" s="40"/>
      <c r="G33" s="40"/>
      <c r="H33" s="40"/>
      <c r="I33" s="40"/>
      <c r="J33" s="36"/>
      <c r="K33" s="55"/>
    </row>
    <row r="34" spans="1:11" ht="22.8" x14ac:dyDescent="0.3">
      <c r="A34" s="42"/>
      <c r="B34" s="41" t="s">
        <v>494</v>
      </c>
      <c r="C34" s="40"/>
      <c r="D34" s="40"/>
      <c r="E34" s="40"/>
      <c r="F34" s="40"/>
      <c r="G34" s="40"/>
      <c r="H34" s="40"/>
      <c r="I34" s="40"/>
      <c r="J34" s="38"/>
      <c r="K34" s="56"/>
    </row>
    <row r="35" spans="1:11" ht="22.8" x14ac:dyDescent="0.3">
      <c r="A35" s="46"/>
      <c r="B35" s="39" t="s">
        <v>495</v>
      </c>
      <c r="C35" s="40"/>
      <c r="D35" s="40"/>
      <c r="E35" s="40"/>
      <c r="F35" s="40"/>
      <c r="G35" s="40"/>
      <c r="H35" s="40"/>
      <c r="I35" s="40"/>
      <c r="J35" s="36"/>
      <c r="K35" s="55"/>
    </row>
    <row r="36" spans="1:11" x14ac:dyDescent="0.3">
      <c r="A36" s="42"/>
      <c r="B36" s="41" t="s">
        <v>496</v>
      </c>
      <c r="C36" s="40"/>
      <c r="D36" s="40"/>
      <c r="E36" s="40"/>
      <c r="F36" s="40"/>
      <c r="G36" s="40"/>
      <c r="H36" s="40"/>
      <c r="I36" s="40"/>
      <c r="J36" s="38"/>
      <c r="K36" s="56"/>
    </row>
    <row r="37" spans="1:11" x14ac:dyDescent="0.3">
      <c r="A37" s="42"/>
      <c r="B37" s="1"/>
      <c r="C37" s="1"/>
      <c r="D37" s="1"/>
      <c r="E37" s="1"/>
      <c r="F37" s="1"/>
      <c r="G37" s="1"/>
      <c r="H37" s="1"/>
      <c r="I37" s="1"/>
      <c r="J37" s="1"/>
      <c r="K37" s="43"/>
    </row>
    <row r="38" spans="1:11" x14ac:dyDescent="0.3">
      <c r="A38" s="93" t="s">
        <v>497</v>
      </c>
      <c r="B38" s="94"/>
      <c r="C38" s="94"/>
      <c r="D38" s="94"/>
      <c r="E38" s="94"/>
      <c r="F38" s="94"/>
      <c r="G38" s="94"/>
      <c r="H38" s="94"/>
      <c r="I38" s="94"/>
      <c r="J38" s="94"/>
      <c r="K38" s="95"/>
    </row>
    <row r="39" spans="1:11" x14ac:dyDescent="0.3">
      <c r="A39" s="160" t="s">
        <v>498</v>
      </c>
      <c r="B39" s="161"/>
      <c r="C39" s="161"/>
      <c r="D39" s="161"/>
      <c r="E39" s="161"/>
      <c r="F39" s="161" t="s">
        <v>499</v>
      </c>
      <c r="G39" s="161"/>
      <c r="H39" s="161"/>
      <c r="I39" s="161"/>
      <c r="J39" s="161"/>
      <c r="K39" s="162"/>
    </row>
    <row r="40" spans="1:11" x14ac:dyDescent="0.3">
      <c r="A40" s="154" t="s">
        <v>500</v>
      </c>
      <c r="B40" s="155"/>
      <c r="C40" s="155"/>
      <c r="D40" s="155"/>
      <c r="E40" s="155"/>
      <c r="F40" s="156"/>
      <c r="G40" s="156"/>
      <c r="H40" s="156"/>
      <c r="I40" s="156"/>
      <c r="J40" s="156"/>
      <c r="K40" s="157"/>
    </row>
    <row r="41" spans="1:11" x14ac:dyDescent="0.3">
      <c r="A41" s="158" t="s">
        <v>501</v>
      </c>
      <c r="B41" s="159"/>
      <c r="C41" s="159"/>
      <c r="D41" s="159"/>
      <c r="E41" s="159"/>
      <c r="F41" s="156"/>
      <c r="G41" s="156"/>
      <c r="H41" s="156"/>
      <c r="I41" s="156"/>
      <c r="J41" s="156"/>
      <c r="K41" s="157"/>
    </row>
    <row r="42" spans="1:11" x14ac:dyDescent="0.3">
      <c r="A42" s="154" t="s">
        <v>502</v>
      </c>
      <c r="B42" s="155"/>
      <c r="C42" s="155"/>
      <c r="D42" s="155"/>
      <c r="E42" s="155"/>
      <c r="F42" s="156"/>
      <c r="G42" s="156"/>
      <c r="H42" s="156"/>
      <c r="I42" s="156"/>
      <c r="J42" s="156"/>
      <c r="K42" s="157"/>
    </row>
    <row r="43" spans="1:11" x14ac:dyDescent="0.3">
      <c r="A43" s="158" t="s">
        <v>503</v>
      </c>
      <c r="B43" s="159"/>
      <c r="C43" s="159"/>
      <c r="D43" s="159"/>
      <c r="E43" s="159"/>
      <c r="F43" s="156"/>
      <c r="G43" s="156"/>
      <c r="H43" s="156"/>
      <c r="I43" s="156"/>
      <c r="J43" s="156"/>
      <c r="K43" s="157"/>
    </row>
    <row r="44" spans="1:11" x14ac:dyDescent="0.3">
      <c r="A44" s="154" t="s">
        <v>504</v>
      </c>
      <c r="B44" s="155"/>
      <c r="C44" s="155"/>
      <c r="D44" s="155"/>
      <c r="E44" s="155"/>
      <c r="F44" s="156"/>
      <c r="G44" s="156"/>
      <c r="H44" s="156"/>
      <c r="I44" s="156"/>
      <c r="J44" s="156"/>
      <c r="K44" s="157"/>
    </row>
    <row r="45" spans="1:11" x14ac:dyDescent="0.3">
      <c r="A45" s="158" t="s">
        <v>505</v>
      </c>
      <c r="B45" s="159"/>
      <c r="C45" s="159"/>
      <c r="D45" s="159"/>
      <c r="E45" s="159"/>
      <c r="F45" s="156"/>
      <c r="G45" s="156"/>
      <c r="H45" s="156"/>
      <c r="I45" s="156"/>
      <c r="J45" s="156"/>
      <c r="K45" s="157"/>
    </row>
    <row r="46" spans="1:11" x14ac:dyDescent="0.3">
      <c r="A46" s="154" t="s">
        <v>506</v>
      </c>
      <c r="B46" s="155"/>
      <c r="C46" s="155"/>
      <c r="D46" s="155"/>
      <c r="E46" s="155"/>
      <c r="F46" s="156"/>
      <c r="G46" s="156"/>
      <c r="H46" s="156"/>
      <c r="I46" s="156"/>
      <c r="J46" s="156"/>
      <c r="K46" s="157"/>
    </row>
    <row r="47" spans="1:11" x14ac:dyDescent="0.3">
      <c r="A47" s="42"/>
      <c r="B47" s="1"/>
      <c r="C47" s="1"/>
      <c r="D47" s="1"/>
      <c r="E47" s="1"/>
      <c r="F47" s="1"/>
      <c r="G47" s="1"/>
      <c r="H47" s="1"/>
      <c r="I47" s="1"/>
      <c r="J47" s="1"/>
      <c r="K47" s="43"/>
    </row>
    <row r="48" spans="1:11" x14ac:dyDescent="0.3">
      <c r="A48" s="151" t="s">
        <v>507</v>
      </c>
      <c r="B48" s="152"/>
      <c r="C48" s="152"/>
      <c r="D48" s="152"/>
      <c r="E48" s="152"/>
      <c r="F48" s="152"/>
      <c r="G48" s="152"/>
      <c r="H48" s="152"/>
      <c r="I48" s="152"/>
      <c r="J48" s="152"/>
      <c r="K48" s="153"/>
    </row>
  </sheetData>
  <mergeCells count="24">
    <mergeCell ref="A1:K1"/>
    <mergeCell ref="A2:K2"/>
    <mergeCell ref="A4:K4"/>
    <mergeCell ref="A14:K14"/>
    <mergeCell ref="A18:K18"/>
    <mergeCell ref="A29:K29"/>
    <mergeCell ref="A38:K38"/>
    <mergeCell ref="A39:E39"/>
    <mergeCell ref="F39:K39"/>
    <mergeCell ref="A40:E40"/>
    <mergeCell ref="F40:K40"/>
    <mergeCell ref="A41:E41"/>
    <mergeCell ref="F41:K41"/>
    <mergeCell ref="A42:E42"/>
    <mergeCell ref="F42:K42"/>
    <mergeCell ref="A43:E43"/>
    <mergeCell ref="F43:K43"/>
    <mergeCell ref="A48:K48"/>
    <mergeCell ref="A44:E44"/>
    <mergeCell ref="F44:K44"/>
    <mergeCell ref="A45:E45"/>
    <mergeCell ref="F45:K45"/>
    <mergeCell ref="A46:E46"/>
    <mergeCell ref="F46:K46"/>
  </mergeCells>
  <printOptions horizontalCentered="1"/>
  <pageMargins left="0.5" right="0.5" top="0.75" bottom="0.7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__DATA__</vt:lpstr>
      <vt:lpstr>Pre-Cleanse Meal</vt:lpstr>
      <vt:lpstr>Morning Routine</vt:lpstr>
      <vt:lpstr>Breakfast</vt:lpstr>
      <vt:lpstr>Mid-Morning Juice</vt:lpstr>
      <vt:lpstr>Lunch</vt:lpstr>
      <vt:lpstr>Afternoon Snack</vt:lpstr>
      <vt:lpstr>Dinner</vt:lpstr>
      <vt:lpstr>Evening</vt:lpstr>
      <vt:lpstr>Shopping List</vt:lpstr>
      <vt:lpstr>Weekly Tracker</vt:lpstr>
      <vt:lpstr>'Afternoon Snack'!Print_Area</vt:lpstr>
      <vt:lpstr>Breakfast!Print_Area</vt:lpstr>
      <vt:lpstr>Dinner!Print_Area</vt:lpstr>
      <vt:lpstr>Evening!Print_Area</vt:lpstr>
      <vt:lpstr>Lunch!Print_Area</vt:lpstr>
      <vt:lpstr>'Mid-Morning Juice'!Print_Area</vt:lpstr>
      <vt:lpstr>'Morning Routine'!Print_Area</vt:lpstr>
      <vt:lpstr>'Pre-Cleanse Meal'!Print_Area</vt:lpstr>
      <vt:lpstr>'Shopping List'!Print_Area</vt:lpstr>
      <vt:lpstr>'Weekly Tracker'!Print_Area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Phat W</cp:lastModifiedBy>
  <cp:revision>0</cp:revision>
  <dcterms:created xsi:type="dcterms:W3CDTF">2026-03-20T15:15:17Z</dcterms:created>
  <dcterms:modified xsi:type="dcterms:W3CDTF">2026-04-03T20:51:54Z</dcterms:modified>
  <dc:language>en-US</dc:language>
</cp:coreProperties>
</file>